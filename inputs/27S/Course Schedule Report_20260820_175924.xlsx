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s\Projects\Projects 26\class_schedule_ai_deploy\inputs\27S\"/>
    </mc:Choice>
  </mc:AlternateContent>
  <xr:revisionPtr revIDLastSave="0" documentId="8_{6F5A5BBD-BB4C-4487-8CC0-B10AC65E72B9}" xr6:coauthVersionLast="47" xr6:coauthVersionMax="47" xr10:uidLastSave="{00000000-0000-0000-0000-000000000000}"/>
  <bookViews>
    <workbookView xWindow="-120" yWindow="-120" windowWidth="29040" windowHeight="15720" xr2:uid="{519F8879-DD7B-4CEA-A9E4-C0096A5C4B63}"/>
  </bookViews>
  <sheets>
    <sheet name="Course Schedule Report_20260820" sheetId="1" r:id="rId1"/>
  </sheets>
  <calcPr calcId="0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8" i="1"/>
  <c r="O19" i="1"/>
  <c r="O21" i="1"/>
  <c r="O23" i="1"/>
  <c r="O26" i="1"/>
  <c r="O27" i="1"/>
  <c r="O28" i="1"/>
  <c r="O30" i="1"/>
  <c r="O32" i="1"/>
  <c r="O33" i="1"/>
  <c r="O34" i="1"/>
  <c r="O35" i="1"/>
  <c r="O36" i="1"/>
  <c r="O44" i="1"/>
  <c r="O49" i="1"/>
  <c r="O50" i="1"/>
  <c r="O51" i="1"/>
  <c r="O53" i="1"/>
  <c r="O55" i="1"/>
  <c r="O56" i="1"/>
  <c r="O57" i="1"/>
  <c r="O60" i="1"/>
  <c r="O67" i="1"/>
  <c r="O84" i="1"/>
  <c r="O94" i="1"/>
  <c r="O95" i="1"/>
  <c r="O100" i="1"/>
  <c r="O101" i="1"/>
  <c r="O106" i="1"/>
  <c r="O108" i="1"/>
  <c r="O111" i="1"/>
  <c r="O116" i="1"/>
  <c r="O117" i="1"/>
  <c r="O122" i="1"/>
</calcChain>
</file>

<file path=xl/sharedStrings.xml><?xml version="1.0" encoding="utf-8"?>
<sst xmlns="http://schemas.openxmlformats.org/spreadsheetml/2006/main" count="1902" uniqueCount="324">
  <si>
    <t>Term_Code</t>
  </si>
  <si>
    <t>Term_Desc</t>
  </si>
  <si>
    <t>Level</t>
  </si>
  <si>
    <t>CRN</t>
  </si>
  <si>
    <t>Subject</t>
  </si>
  <si>
    <t>Number</t>
  </si>
  <si>
    <t>Section</t>
  </si>
  <si>
    <t>Session</t>
  </si>
  <si>
    <t>Course_Status</t>
  </si>
  <si>
    <t>Title</t>
  </si>
  <si>
    <t>Meeting_Days</t>
  </si>
  <si>
    <t>Meeting_Times</t>
  </si>
  <si>
    <t>Building</t>
  </si>
  <si>
    <t>Room</t>
  </si>
  <si>
    <t>Seats_Avail</t>
  </si>
  <si>
    <t>Start_Date</t>
  </si>
  <si>
    <t>End_Date</t>
  </si>
  <si>
    <t>Instructor</t>
  </si>
  <si>
    <t>course_id</t>
  </si>
  <si>
    <t>Campus</t>
  </si>
  <si>
    <t>Delivery_Method</t>
  </si>
  <si>
    <t>LOCATION</t>
  </si>
  <si>
    <t>Spring Term 2026</t>
  </si>
  <si>
    <t>Undergraduate</t>
  </si>
  <si>
    <t>MATH</t>
  </si>
  <si>
    <t>0803</t>
  </si>
  <si>
    <t>001</t>
  </si>
  <si>
    <t>01</t>
  </si>
  <si>
    <t>Active</t>
  </si>
  <si>
    <t>FOUNDATIONS OF COLLEGE MATH</t>
  </si>
  <si>
    <t>TR</t>
  </si>
  <si>
    <t>09:30 am-10:50 am</t>
  </si>
  <si>
    <t>Corley</t>
  </si>
  <si>
    <t>Winn, Janet L.</t>
  </si>
  <si>
    <t>MATH 0803 001, CRN-20450</t>
  </si>
  <si>
    <t>M</t>
  </si>
  <si>
    <t>Russellville On-campus</t>
  </si>
  <si>
    <t>002</t>
  </si>
  <si>
    <t>MWF</t>
  </si>
  <si>
    <t>09:00 am-09:50 am</t>
  </si>
  <si>
    <t>Ross Pendergraft Library</t>
  </si>
  <si>
    <t>Growns, Landon C.</t>
  </si>
  <si>
    <t>MATH 0803 002, CRN-20472</t>
  </si>
  <si>
    <t>003</t>
  </si>
  <si>
    <t>01:00 pm-01:50 pm</t>
  </si>
  <si>
    <t>Ballard, Kasey L.</t>
  </si>
  <si>
    <t>MATH 0803 003, CRN-20483</t>
  </si>
  <si>
    <t>TC1</t>
  </si>
  <si>
    <t>TBA</t>
  </si>
  <si>
    <t>Unassigned</t>
  </si>
  <si>
    <t>King, Jamie L.</t>
  </si>
  <si>
    <t>MATH 0803 TC1, CRN-20461</t>
  </si>
  <si>
    <t>Web Only: Incl Proctored Exams</t>
  </si>
  <si>
    <t>Russellville - Location Indeterminate</t>
  </si>
  <si>
    <t>0903</t>
  </si>
  <si>
    <t>BEGIN/INTERMEDIATE ALGEBRA</t>
  </si>
  <si>
    <t>11:00 am-12:20 pm</t>
  </si>
  <si>
    <t>Hogan, Jessica L.</t>
  </si>
  <si>
    <t>MATH 0903 001, CRN-20466</t>
  </si>
  <si>
    <t>08:00 am-08:50 am</t>
  </si>
  <si>
    <t>MATH 0903 002, CRN-20452</t>
  </si>
  <si>
    <t>MATH 0903 TC1, CRN-20468</t>
  </si>
  <si>
    <t>COLLEGE MATHEMATICS</t>
  </si>
  <si>
    <t>MATH 1003 001, CRN-20451</t>
  </si>
  <si>
    <t>10:00 am-10:50 am</t>
  </si>
  <si>
    <t>MATH 1003 002, CRN-20474</t>
  </si>
  <si>
    <t>02:00 pm-02:50 pm</t>
  </si>
  <si>
    <t>MATH 1003 003, CRN-20484</t>
  </si>
  <si>
    <t>005</t>
  </si>
  <si>
    <t>5 / 32 / 36</t>
  </si>
  <si>
    <t>MATH 1003 005, CRN-20454</t>
  </si>
  <si>
    <t>006</t>
  </si>
  <si>
    <t>Rothwell</t>
  </si>
  <si>
    <t>9 / 33 / 50</t>
  </si>
  <si>
    <t>MATH 1003 006, CRN-20463</t>
  </si>
  <si>
    <t>A01</t>
  </si>
  <si>
    <t>MW</t>
  </si>
  <si>
    <t>Ozark Allied Health</t>
  </si>
  <si>
    <t>17 / 23 / 28</t>
  </si>
  <si>
    <t>Koone, Shelley D.</t>
  </si>
  <si>
    <t>MATH 1003 A01, CRN-20954</t>
  </si>
  <si>
    <t>Ozark On-campus</t>
  </si>
  <si>
    <t>Ingram, Brianna R.</t>
  </si>
  <si>
    <t>A02</t>
  </si>
  <si>
    <t>MATH 1003 A02, CRN-20957</t>
  </si>
  <si>
    <t>Macy, Benjamin A.</t>
  </si>
  <si>
    <t>P01</t>
  </si>
  <si>
    <t>Prairie Grove High School</t>
  </si>
  <si>
    <t>PGHS</t>
  </si>
  <si>
    <t>Hubbard, Evan D.</t>
  </si>
  <si>
    <t>MATH 1003 P01, CRN-21140</t>
  </si>
  <si>
    <t>High School</t>
  </si>
  <si>
    <t>MATH 1003 TC1, CRN-20462</t>
  </si>
  <si>
    <t>TC2</t>
  </si>
  <si>
    <t>10 / 30 / na</t>
  </si>
  <si>
    <t>MATH 1003 TC2, CRN-20464</t>
  </si>
  <si>
    <t>COLLEGE ALGEBRA LAB</t>
  </si>
  <si>
    <t>MATH 1110 003, CRN-20480</t>
  </si>
  <si>
    <t>ET1</t>
  </si>
  <si>
    <t>Multiple High Schools (ET)</t>
  </si>
  <si>
    <t>ET</t>
  </si>
  <si>
    <t>13 / 71 / 99999</t>
  </si>
  <si>
    <t>Ridenour, Anna M.</t>
  </si>
  <si>
    <t>MATH 1110 ET1, CRN-21096</t>
  </si>
  <si>
    <t>ET2</t>
  </si>
  <si>
    <t>Singleton, Brit P.</t>
  </si>
  <si>
    <t>MATH 1110 ET2, CRN-21098</t>
  </si>
  <si>
    <t>Alma High School</t>
  </si>
  <si>
    <t>AHS</t>
  </si>
  <si>
    <t>28 / 70 / 99999</t>
  </si>
  <si>
    <t>Bean, Garin</t>
  </si>
  <si>
    <t>MATH 1110 P01, CRN-21089</t>
  </si>
  <si>
    <t>P02</t>
  </si>
  <si>
    <t>Bauxite High School</t>
  </si>
  <si>
    <t>BHS</t>
  </si>
  <si>
    <t>5 / 15 / 99999</t>
  </si>
  <si>
    <t>Hilderbrand, Jennifer</t>
  </si>
  <si>
    <t>MATH 1110 P02, CRN-21113</t>
  </si>
  <si>
    <t>P03</t>
  </si>
  <si>
    <t>Dardanelle High School</t>
  </si>
  <si>
    <t>DHS</t>
  </si>
  <si>
    <t>Parker, Meagan A.</t>
  </si>
  <si>
    <t>MATH 1110 P03, CRN-21121</t>
  </si>
  <si>
    <t>P04</t>
  </si>
  <si>
    <t>Dover High School</t>
  </si>
  <si>
    <t>Sumners, Jon T.</t>
  </si>
  <si>
    <t>MATH 1110 P04, CRN-21128</t>
  </si>
  <si>
    <t>P05</t>
  </si>
  <si>
    <t>Greenwood High School</t>
  </si>
  <si>
    <t>GHS</t>
  </si>
  <si>
    <t>Billingsley, Daniel W.</t>
  </si>
  <si>
    <t>MATH 1110 P05, CRN-21131</t>
  </si>
  <si>
    <t>P06</t>
  </si>
  <si>
    <t>Russellville High School</t>
  </si>
  <si>
    <t>RHS</t>
  </si>
  <si>
    <t>0 / 10 / 99999</t>
  </si>
  <si>
    <t>Lachowsky, Jennifer A.</t>
  </si>
  <si>
    <t>MATH 1110 P06, CRN-21162</t>
  </si>
  <si>
    <t>P07</t>
  </si>
  <si>
    <t>Van Buren High School</t>
  </si>
  <si>
    <t>VBHS</t>
  </si>
  <si>
    <t>Fudge, Danna L.</t>
  </si>
  <si>
    <t>MATH 1110 P07, CRN-21168</t>
  </si>
  <si>
    <t>P08</t>
  </si>
  <si>
    <t>9 / 25 / 99999</t>
  </si>
  <si>
    <t>MATH 1110 P08, CRN-21926</t>
  </si>
  <si>
    <t>P09</t>
  </si>
  <si>
    <t>MATH 1110 P09, CRN-21928</t>
  </si>
  <si>
    <t>P10</t>
  </si>
  <si>
    <t>MATH 1110 P10, CRN-21930</t>
  </si>
  <si>
    <t>COLLEGE ALGEBRA</t>
  </si>
  <si>
    <t>11:00 am-11:50 am</t>
  </si>
  <si>
    <t>MATH 1113 001, CRN-20467</t>
  </si>
  <si>
    <t>08:00 am-09:20 am</t>
  </si>
  <si>
    <t>MATH 1113 002, CRN-20453</t>
  </si>
  <si>
    <t>MATH 1113 003, CRN-20482</t>
  </si>
  <si>
    <t>17 / 30 / 36</t>
  </si>
  <si>
    <t>Taylor, Teresa L.</t>
  </si>
  <si>
    <t>MATH 1113 006, CRN-20455</t>
  </si>
  <si>
    <t>MATH 1113 A01, CRN-20959</t>
  </si>
  <si>
    <t>Canceled</t>
  </si>
  <si>
    <t>0 / 0 / na</t>
  </si>
  <si>
    <t>Staff</t>
  </si>
  <si>
    <t>MATH 1113 A02, CRN-20961</t>
  </si>
  <si>
    <t>A03</t>
  </si>
  <si>
    <t>R</t>
  </si>
  <si>
    <t>05:00 pm-07:50 pm</t>
  </si>
  <si>
    <t>21 / 23 / 28</t>
  </si>
  <si>
    <t>MATH 1113 A03, CRN-20963</t>
  </si>
  <si>
    <t>MATH 1113 ET1, CRN-21095</t>
  </si>
  <si>
    <t>MATH 1113 ET2, CRN-21097</t>
  </si>
  <si>
    <t>F01</t>
  </si>
  <si>
    <t>12 / 30 / na</t>
  </si>
  <si>
    <t>MATH 1113 F01, CRN-20470</t>
  </si>
  <si>
    <t>Hyflex Scheduling Section</t>
  </si>
  <si>
    <t>MATH 1113 P01, CRN-21088</t>
  </si>
  <si>
    <t>MATH 1113 P02, CRN-21112</t>
  </si>
  <si>
    <t>MATH 1113 P03, CRN-21120</t>
  </si>
  <si>
    <t>MATH 1113 P04, CRN-21127</t>
  </si>
  <si>
    <t>MATH 1113 P05, CRN-21130</t>
  </si>
  <si>
    <t>MATH 1113 P06, CRN-21161</t>
  </si>
  <si>
    <t>MATH 1113 P07, CRN-21167</t>
  </si>
  <si>
    <t>4 / 20 / 99999</t>
  </si>
  <si>
    <t>MATH 1113 P08, CRN-21925</t>
  </si>
  <si>
    <t>MATH 1113 P09, CRN-21927</t>
  </si>
  <si>
    <t>MATH 1113 P10, CRN-21929</t>
  </si>
  <si>
    <t>MATH 1113 TC1, CRN-20469</t>
  </si>
  <si>
    <t>23 / 32 / na</t>
  </si>
  <si>
    <t>MATH 1113 TC2, CRN-20485</t>
  </si>
  <si>
    <t>PLANE TRIGONOMETRY</t>
  </si>
  <si>
    <t>1 / 38 / 99999</t>
  </si>
  <si>
    <t>MATH 1203 P01, CRN-21086</t>
  </si>
  <si>
    <t>MATH 1203 P02, CRN-21129</t>
  </si>
  <si>
    <t>10 / 81 / 99999</t>
  </si>
  <si>
    <t>MATH 1203 P03, CRN-21160</t>
  </si>
  <si>
    <t>Valley Christian School</t>
  </si>
  <si>
    <t>VCS</t>
  </si>
  <si>
    <t>3 / 5 / 999</t>
  </si>
  <si>
    <t>Mashburn, Marlena J.</t>
  </si>
  <si>
    <t>MATH 1203 P04, CRN-21165</t>
  </si>
  <si>
    <t>4 / 41 / 99999</t>
  </si>
  <si>
    <t>Salyer, Kellie S.</t>
  </si>
  <si>
    <t>MATH 1203 P05, CRN-21169</t>
  </si>
  <si>
    <t>1 / 16 / 99999</t>
  </si>
  <si>
    <t>Holland, Jeremy K.</t>
  </si>
  <si>
    <t>MATH 1203 P06, CRN-21890</t>
  </si>
  <si>
    <t>3 / 25 / 99999</t>
  </si>
  <si>
    <t>MATH 1203 P07, CRN-21891</t>
  </si>
  <si>
    <t>4 / 24 / 99999</t>
  </si>
  <si>
    <t>MATH 1203 P08, CRN-21892</t>
  </si>
  <si>
    <t>MATH 1203 P09, CRN-21955</t>
  </si>
  <si>
    <t>14 / 25 / na</t>
  </si>
  <si>
    <t>Bain, Leslie M.</t>
  </si>
  <si>
    <t>MATH 1203 TC1, CRN-20489</t>
  </si>
  <si>
    <t>PRECALCULUS</t>
  </si>
  <si>
    <t>13 / 30 / 42</t>
  </si>
  <si>
    <t>Cox, Allie M.</t>
  </si>
  <si>
    <t>MATH 1914 001, CRN-20498</t>
  </si>
  <si>
    <t>T</t>
  </si>
  <si>
    <t>21 / 30 / 32</t>
  </si>
  <si>
    <t>MATH 1914 003, CRN-20486</t>
  </si>
  <si>
    <t>21 / 30 / 36</t>
  </si>
  <si>
    <t>Maumelle Charter High School</t>
  </si>
  <si>
    <t>MCHS</t>
  </si>
  <si>
    <t>0 / 4 / 9999</t>
  </si>
  <si>
    <t>King, William H.</t>
  </si>
  <si>
    <t>MATH 1914 P01, CRN-21134</t>
  </si>
  <si>
    <t>MATH CONCEPTS I</t>
  </si>
  <si>
    <t>MATH 2033 001, CRN-20456</t>
  </si>
  <si>
    <t>MATH CONCEPTS II</t>
  </si>
  <si>
    <t>MATH 2043 001, CRN-20457</t>
  </si>
  <si>
    <t>9 / 25 / na</t>
  </si>
  <si>
    <t>MATH 2043 TC1, CRN-20458</t>
  </si>
  <si>
    <t>QUANTITATIVE BUSINESS ANALYSIS</t>
  </si>
  <si>
    <t>MATH 2223 001, CRN-20501</t>
  </si>
  <si>
    <t>MATH 2223 002, CRN-20502</t>
  </si>
  <si>
    <t>14 / 30 / 36</t>
  </si>
  <si>
    <t>MATH 2223 003, CRN-20503</t>
  </si>
  <si>
    <t>14 / 30 / na</t>
  </si>
  <si>
    <t>MATH 2223 TC1, CRN-20505</t>
  </si>
  <si>
    <t>CALCULUS-BUSINESS/ECON</t>
  </si>
  <si>
    <t>15 / 30 / 36</t>
  </si>
  <si>
    <t>Overduin, Matthew D.</t>
  </si>
  <si>
    <t>MATH 2243 001, CRN-20528</t>
  </si>
  <si>
    <t>MATH 2243 002, CRN-20529</t>
  </si>
  <si>
    <t>DISCRETE MATHEMATICS</t>
  </si>
  <si>
    <t>Jordan, Susan M.</t>
  </si>
  <si>
    <t>MATH 2703 001, CRN-20506</t>
  </si>
  <si>
    <t>Limperis, Thomas G.</t>
  </si>
  <si>
    <t>MATH 2703 002, CRN-20520</t>
  </si>
  <si>
    <t>MATH 2703 TC1, CRN-20530</t>
  </si>
  <si>
    <t>CALCULUS I</t>
  </si>
  <si>
    <t>MATH 2914 001, CRN-20508</t>
  </si>
  <si>
    <t>01:00 pm-02:20 pm</t>
  </si>
  <si>
    <t>17 / 30 / 42</t>
  </si>
  <si>
    <t>MATH 2914 002, CRN-20511</t>
  </si>
  <si>
    <t>30 / 30 / 42</t>
  </si>
  <si>
    <t>MATH 2914 003, CRN-20513</t>
  </si>
  <si>
    <t>02:30 pm-03:50 pm</t>
  </si>
  <si>
    <t>CALCULUS II</t>
  </si>
  <si>
    <t>14 / 30 / 32</t>
  </si>
  <si>
    <t>Myers, Jeanine L.</t>
  </si>
  <si>
    <t>MATH 2924 001, CRN-20524</t>
  </si>
  <si>
    <t>12:00 pm-12:50 pm</t>
  </si>
  <si>
    <t>MATH 2924 002, CRN-20521</t>
  </si>
  <si>
    <t>MATH 2924 003, CRN-20522</t>
  </si>
  <si>
    <t>CALCULUS III</t>
  </si>
  <si>
    <t>16 / 30 / 43</t>
  </si>
  <si>
    <t>MATH 2934 001, CRN-20525</t>
  </si>
  <si>
    <t>MATH 2934 002, CRN-20526</t>
  </si>
  <si>
    <t>METH TEACH ELEM MATH</t>
  </si>
  <si>
    <t>14 / 25 / 32</t>
  </si>
  <si>
    <t>MATH 3033 001, CRN-20459</t>
  </si>
  <si>
    <t>AT1</t>
  </si>
  <si>
    <t>25 / 25 / na</t>
  </si>
  <si>
    <t>MATH 3033 AT1, CRN-20460</t>
  </si>
  <si>
    <t>COLLEGE GEOMETRY</t>
  </si>
  <si>
    <t>20 / 25 / 32</t>
  </si>
  <si>
    <t>MATH 3123 001, CRN-20531</t>
  </si>
  <si>
    <t>INTRO TO ANALYSIS</t>
  </si>
  <si>
    <t>MATH 3203 001, CRN-20527</t>
  </si>
  <si>
    <t>H01</t>
  </si>
  <si>
    <t>HONORS INTRO TO ANALYSIS</t>
  </si>
  <si>
    <t>MATH 3203 H01, CRN-21939</t>
  </si>
  <si>
    <t>DIFF EQUATIONS I</t>
  </si>
  <si>
    <t>Xiao, Xinli</t>
  </si>
  <si>
    <t>MATH 3243 001, CRN-20446</t>
  </si>
  <si>
    <t>MATH 3243 002, CRN-20523</t>
  </si>
  <si>
    <t>LINEAR ALGEBRA I</t>
  </si>
  <si>
    <t>MATH 4003 001, CRN-20447</t>
  </si>
  <si>
    <t>MATHEMATICS SENIOR SEMINAR</t>
  </si>
  <si>
    <t>MATH 4971 001, CRN-20448</t>
  </si>
  <si>
    <t>SP: MATHEMATICAL MODELING</t>
  </si>
  <si>
    <t>MATH 4993 001, CRN-21948</t>
  </si>
  <si>
    <t>Graduate</t>
  </si>
  <si>
    <t>ADVANCED BIOSTATISTICS</t>
  </si>
  <si>
    <t>10 / 10 / na</t>
  </si>
  <si>
    <t>Jordan, Scott M.</t>
  </si>
  <si>
    <t>MATH 5173 TC1, CRN-20536</t>
  </si>
  <si>
    <t>STAT</t>
  </si>
  <si>
    <t>INTRO/STATISTICAL METHODS</t>
  </si>
  <si>
    <t>STAT 2163 001, CRN-20465</t>
  </si>
  <si>
    <t>STAT 2163 002, CRN-20490</t>
  </si>
  <si>
    <t>2 / 30 / 36</t>
  </si>
  <si>
    <t>STAT 2163 003, CRN-20492</t>
  </si>
  <si>
    <t>STAT 2163 P01, CRN-21132</t>
  </si>
  <si>
    <t>STAT 2163 P02, CRN-21139</t>
  </si>
  <si>
    <t>1 / 21 / 99999</t>
  </si>
  <si>
    <t>STAT 2163 P03, CRN-21893</t>
  </si>
  <si>
    <t>7 / 31 / na</t>
  </si>
  <si>
    <t>STAT 2163 TC1, CRN-20493</t>
  </si>
  <si>
    <t>13 / 32 / na</t>
  </si>
  <si>
    <t>STAT 2163 TC2, CRN-20494</t>
  </si>
  <si>
    <t>REGRESSION ANALYSIS</t>
  </si>
  <si>
    <t>15 / 30 / 40</t>
  </si>
  <si>
    <t>STAT 3113 001, CRN-20449</t>
  </si>
  <si>
    <t>APPLIED STATISTICS</t>
  </si>
  <si>
    <t>STAT 3153 001, CRN-20532</t>
  </si>
  <si>
    <t>STAT 3153 002, CRN-20533</t>
  </si>
  <si>
    <t>STATISTICAL PROCESS CONTROL</t>
  </si>
  <si>
    <t>1 / 32 / 40</t>
  </si>
  <si>
    <t>STAT 3183 001, CRN-20534</t>
  </si>
  <si>
    <t>5 / 15 / na</t>
  </si>
  <si>
    <t>STAT 4173 TC1, CRN-20535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</si>
</sst>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28A0-229A-4373-AB78-C5BF8CB66245}">
  <dimension ref="A1:V1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202620</v>
      </c>
      <c r="B2" t="s">
        <v>22</v>
      </c>
      <c r="C2" t="s">
        <v>23</v>
      </c>
      <c r="D2">
        <v>20450</v>
      </c>
      <c r="E2" t="s">
        <v>24</v>
      </c>
      <c r="F2" s="1" t="s">
        <v>25</v>
      </c>
      <c r="G2" s="1" t="s">
        <v>26</v>
      </c>
      <c r="H2" s="1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103</v>
      </c>
      <c r="O2" t="e">
        <f>-21 / 0 / 36</f>
        <v>#DIV/0!</v>
      </c>
      <c r="P2" s="2">
        <v>46034</v>
      </c>
      <c r="Q2" s="2">
        <v>46148</v>
      </c>
      <c r="R2" t="s">
        <v>33</v>
      </c>
      <c r="S2" t="s">
        <v>34</v>
      </c>
      <c r="T2" t="s">
        <v>35</v>
      </c>
      <c r="V2" t="s">
        <v>36</v>
      </c>
    </row>
    <row r="3" spans="1:22" x14ac:dyDescent="0.25">
      <c r="A3">
        <v>202620</v>
      </c>
      <c r="B3" t="s">
        <v>22</v>
      </c>
      <c r="C3" t="s">
        <v>23</v>
      </c>
      <c r="D3">
        <v>20472</v>
      </c>
      <c r="E3" t="s">
        <v>24</v>
      </c>
      <c r="F3" s="1" t="s">
        <v>25</v>
      </c>
      <c r="G3" s="1" t="s">
        <v>37</v>
      </c>
      <c r="H3" s="1" t="s">
        <v>27</v>
      </c>
      <c r="I3" t="s">
        <v>28</v>
      </c>
      <c r="J3" t="s">
        <v>29</v>
      </c>
      <c r="K3" t="s">
        <v>38</v>
      </c>
      <c r="L3" t="s">
        <v>39</v>
      </c>
      <c r="M3" t="s">
        <v>40</v>
      </c>
      <c r="N3">
        <v>331</v>
      </c>
      <c r="O3" t="e">
        <f>-24 / 0 / 30</f>
        <v>#DIV/0!</v>
      </c>
      <c r="P3" s="2">
        <v>46034</v>
      </c>
      <c r="Q3" s="2">
        <v>46148</v>
      </c>
      <c r="R3" t="s">
        <v>41</v>
      </c>
      <c r="S3" t="s">
        <v>42</v>
      </c>
      <c r="T3" t="s">
        <v>35</v>
      </c>
      <c r="V3" t="s">
        <v>36</v>
      </c>
    </row>
    <row r="4" spans="1:22" x14ac:dyDescent="0.25">
      <c r="A4">
        <v>202620</v>
      </c>
      <c r="B4" t="s">
        <v>22</v>
      </c>
      <c r="C4" t="s">
        <v>23</v>
      </c>
      <c r="D4">
        <v>20483</v>
      </c>
      <c r="E4" t="s">
        <v>24</v>
      </c>
      <c r="F4" s="1" t="s">
        <v>25</v>
      </c>
      <c r="G4" s="1" t="s">
        <v>43</v>
      </c>
      <c r="H4" s="1" t="s">
        <v>27</v>
      </c>
      <c r="I4" t="s">
        <v>28</v>
      </c>
      <c r="J4" t="s">
        <v>29</v>
      </c>
      <c r="K4" t="s">
        <v>38</v>
      </c>
      <c r="L4" t="s">
        <v>44</v>
      </c>
      <c r="M4" t="s">
        <v>32</v>
      </c>
      <c r="N4">
        <v>103</v>
      </c>
      <c r="O4" t="e">
        <f>-15 / 0 / 36</f>
        <v>#DIV/0!</v>
      </c>
      <c r="P4" s="2">
        <v>46034</v>
      </c>
      <c r="Q4" s="2">
        <v>46148</v>
      </c>
      <c r="R4" t="s">
        <v>45</v>
      </c>
      <c r="S4" t="s">
        <v>46</v>
      </c>
      <c r="T4" t="s">
        <v>35</v>
      </c>
      <c r="V4" t="s">
        <v>36</v>
      </c>
    </row>
    <row r="5" spans="1:22" x14ac:dyDescent="0.25">
      <c r="A5">
        <v>202620</v>
      </c>
      <c r="B5" t="s">
        <v>22</v>
      </c>
      <c r="C5" t="s">
        <v>23</v>
      </c>
      <c r="D5">
        <v>20461</v>
      </c>
      <c r="E5" t="s">
        <v>24</v>
      </c>
      <c r="F5" s="1" t="s">
        <v>25</v>
      </c>
      <c r="G5" t="s">
        <v>47</v>
      </c>
      <c r="H5" s="1" t="s">
        <v>27</v>
      </c>
      <c r="I5" t="s">
        <v>28</v>
      </c>
      <c r="J5" t="s">
        <v>29</v>
      </c>
      <c r="K5" t="s">
        <v>48</v>
      </c>
      <c r="L5" t="s">
        <v>48</v>
      </c>
      <c r="M5" t="s">
        <v>49</v>
      </c>
      <c r="N5" t="s">
        <v>49</v>
      </c>
      <c r="O5" t="e">
        <f>-13 / 0 / na</f>
        <v>#DIV/0!</v>
      </c>
      <c r="P5" s="2">
        <v>46034</v>
      </c>
      <c r="Q5" s="2">
        <v>46148</v>
      </c>
      <c r="R5" t="s">
        <v>50</v>
      </c>
      <c r="S5" t="s">
        <v>51</v>
      </c>
      <c r="T5" t="s">
        <v>35</v>
      </c>
      <c r="U5" t="s">
        <v>52</v>
      </c>
      <c r="V5" t="s">
        <v>53</v>
      </c>
    </row>
    <row r="6" spans="1:22" x14ac:dyDescent="0.25">
      <c r="A6">
        <v>202620</v>
      </c>
      <c r="B6" t="s">
        <v>22</v>
      </c>
      <c r="C6" t="s">
        <v>23</v>
      </c>
      <c r="D6">
        <v>20466</v>
      </c>
      <c r="E6" t="s">
        <v>24</v>
      </c>
      <c r="F6" s="1" t="s">
        <v>54</v>
      </c>
      <c r="G6" s="1" t="s">
        <v>26</v>
      </c>
      <c r="H6" s="1" t="s">
        <v>27</v>
      </c>
      <c r="I6" t="s">
        <v>28</v>
      </c>
      <c r="J6" t="s">
        <v>55</v>
      </c>
      <c r="K6" t="s">
        <v>30</v>
      </c>
      <c r="L6" t="s">
        <v>56</v>
      </c>
      <c r="M6" t="s">
        <v>32</v>
      </c>
      <c r="N6">
        <v>104</v>
      </c>
      <c r="O6" t="e">
        <f>-19 / 0 / 36</f>
        <v>#DIV/0!</v>
      </c>
      <c r="P6" s="2">
        <v>46034</v>
      </c>
      <c r="Q6" s="2">
        <v>46148</v>
      </c>
      <c r="R6" t="s">
        <v>57</v>
      </c>
      <c r="S6" t="s">
        <v>58</v>
      </c>
      <c r="T6" t="s">
        <v>35</v>
      </c>
      <c r="V6" t="s">
        <v>36</v>
      </c>
    </row>
    <row r="7" spans="1:22" x14ac:dyDescent="0.25">
      <c r="A7">
        <v>202620</v>
      </c>
      <c r="B7" t="s">
        <v>22</v>
      </c>
      <c r="C7" t="s">
        <v>23</v>
      </c>
      <c r="D7">
        <v>20452</v>
      </c>
      <c r="E7" t="s">
        <v>24</v>
      </c>
      <c r="F7" s="1" t="s">
        <v>54</v>
      </c>
      <c r="G7" s="1" t="s">
        <v>37</v>
      </c>
      <c r="H7" s="1" t="s">
        <v>27</v>
      </c>
      <c r="I7" t="s">
        <v>28</v>
      </c>
      <c r="J7" t="s">
        <v>55</v>
      </c>
      <c r="K7" t="s">
        <v>38</v>
      </c>
      <c r="L7" t="s">
        <v>59</v>
      </c>
      <c r="M7" t="s">
        <v>32</v>
      </c>
      <c r="N7">
        <v>104</v>
      </c>
      <c r="O7" t="e">
        <f>-19 / 0 / 36</f>
        <v>#DIV/0!</v>
      </c>
      <c r="P7" s="2">
        <v>46034</v>
      </c>
      <c r="Q7" s="2">
        <v>46148</v>
      </c>
      <c r="R7" t="s">
        <v>33</v>
      </c>
      <c r="S7" t="s">
        <v>60</v>
      </c>
      <c r="T7" t="s">
        <v>35</v>
      </c>
      <c r="V7" t="s">
        <v>36</v>
      </c>
    </row>
    <row r="8" spans="1:22" x14ac:dyDescent="0.25">
      <c r="A8">
        <v>202620</v>
      </c>
      <c r="B8" t="s">
        <v>22</v>
      </c>
      <c r="C8" t="s">
        <v>23</v>
      </c>
      <c r="D8">
        <v>20468</v>
      </c>
      <c r="E8" t="s">
        <v>24</v>
      </c>
      <c r="F8" s="1" t="s">
        <v>54</v>
      </c>
      <c r="G8" t="s">
        <v>47</v>
      </c>
      <c r="H8" s="1" t="s">
        <v>27</v>
      </c>
      <c r="I8" t="s">
        <v>28</v>
      </c>
      <c r="J8" t="s">
        <v>55</v>
      </c>
      <c r="K8" t="s">
        <v>48</v>
      </c>
      <c r="L8" t="s">
        <v>48</v>
      </c>
      <c r="M8" t="s">
        <v>49</v>
      </c>
      <c r="N8" t="s">
        <v>49</v>
      </c>
      <c r="O8" t="e">
        <f>-5 / 0 / na</f>
        <v>#DIV/0!</v>
      </c>
      <c r="P8" s="2">
        <v>46034</v>
      </c>
      <c r="Q8" s="2">
        <v>46148</v>
      </c>
      <c r="R8" t="s">
        <v>57</v>
      </c>
      <c r="S8" t="s">
        <v>61</v>
      </c>
      <c r="T8" t="s">
        <v>35</v>
      </c>
      <c r="U8" t="s">
        <v>52</v>
      </c>
      <c r="V8" t="s">
        <v>53</v>
      </c>
    </row>
    <row r="9" spans="1:22" x14ac:dyDescent="0.25">
      <c r="A9">
        <v>202620</v>
      </c>
      <c r="B9" t="s">
        <v>22</v>
      </c>
      <c r="C9" t="s">
        <v>23</v>
      </c>
      <c r="D9">
        <v>20451</v>
      </c>
      <c r="E9" t="s">
        <v>24</v>
      </c>
      <c r="F9">
        <v>1003</v>
      </c>
      <c r="G9" s="1" t="s">
        <v>26</v>
      </c>
      <c r="H9" s="1" t="s">
        <v>27</v>
      </c>
      <c r="I9" t="s">
        <v>28</v>
      </c>
      <c r="J9" t="s">
        <v>62</v>
      </c>
      <c r="K9" t="s">
        <v>38</v>
      </c>
      <c r="L9" t="s">
        <v>39</v>
      </c>
      <c r="M9" t="s">
        <v>32</v>
      </c>
      <c r="N9">
        <v>103</v>
      </c>
      <c r="O9" t="e">
        <f>-21 / 0 / 36</f>
        <v>#DIV/0!</v>
      </c>
      <c r="P9" s="2">
        <v>46034</v>
      </c>
      <c r="Q9" s="2">
        <v>46148</v>
      </c>
      <c r="R9" t="s">
        <v>33</v>
      </c>
      <c r="S9" t="s">
        <v>63</v>
      </c>
      <c r="T9" t="s">
        <v>35</v>
      </c>
      <c r="V9" t="s">
        <v>36</v>
      </c>
    </row>
    <row r="10" spans="1:22" x14ac:dyDescent="0.25">
      <c r="A10">
        <v>202620</v>
      </c>
      <c r="B10" t="s">
        <v>22</v>
      </c>
      <c r="C10" t="s">
        <v>23</v>
      </c>
      <c r="D10">
        <v>20474</v>
      </c>
      <c r="E10" t="s">
        <v>24</v>
      </c>
      <c r="F10">
        <v>1003</v>
      </c>
      <c r="G10" s="1" t="s">
        <v>37</v>
      </c>
      <c r="H10" s="1" t="s">
        <v>27</v>
      </c>
      <c r="I10" t="s">
        <v>28</v>
      </c>
      <c r="J10" t="s">
        <v>62</v>
      </c>
      <c r="K10" t="s">
        <v>38</v>
      </c>
      <c r="L10" t="s">
        <v>64</v>
      </c>
      <c r="M10" t="s">
        <v>40</v>
      </c>
      <c r="N10">
        <v>331</v>
      </c>
      <c r="O10" t="e">
        <f>-24 / 0 / 30</f>
        <v>#DIV/0!</v>
      </c>
      <c r="P10" s="2">
        <v>46034</v>
      </c>
      <c r="Q10" s="2">
        <v>46148</v>
      </c>
      <c r="R10" t="s">
        <v>41</v>
      </c>
      <c r="S10" t="s">
        <v>65</v>
      </c>
      <c r="T10" t="s">
        <v>35</v>
      </c>
      <c r="V10" t="s">
        <v>36</v>
      </c>
    </row>
    <row r="11" spans="1:22" x14ac:dyDescent="0.25">
      <c r="A11">
        <v>202620</v>
      </c>
      <c r="B11" t="s">
        <v>22</v>
      </c>
      <c r="C11" t="s">
        <v>23</v>
      </c>
      <c r="D11">
        <v>20484</v>
      </c>
      <c r="E11" t="s">
        <v>24</v>
      </c>
      <c r="F11">
        <v>1003</v>
      </c>
      <c r="G11" s="1" t="s">
        <v>43</v>
      </c>
      <c r="H11" s="1" t="s">
        <v>27</v>
      </c>
      <c r="I11" t="s">
        <v>28</v>
      </c>
      <c r="J11" t="s">
        <v>62</v>
      </c>
      <c r="K11" t="s">
        <v>38</v>
      </c>
      <c r="L11" t="s">
        <v>66</v>
      </c>
      <c r="M11" t="s">
        <v>32</v>
      </c>
      <c r="N11">
        <v>103</v>
      </c>
      <c r="O11" t="e">
        <f>-15 / 0 / 36</f>
        <v>#DIV/0!</v>
      </c>
      <c r="P11" s="2">
        <v>46034</v>
      </c>
      <c r="Q11" s="2">
        <v>46148</v>
      </c>
      <c r="R11" t="s">
        <v>45</v>
      </c>
      <c r="S11" t="s">
        <v>67</v>
      </c>
      <c r="T11" t="s">
        <v>35</v>
      </c>
      <c r="V11" t="s">
        <v>36</v>
      </c>
    </row>
    <row r="12" spans="1:22" x14ac:dyDescent="0.25">
      <c r="A12">
        <v>202620</v>
      </c>
      <c r="B12" t="s">
        <v>22</v>
      </c>
      <c r="C12" t="s">
        <v>23</v>
      </c>
      <c r="D12">
        <v>20454</v>
      </c>
      <c r="E12" t="s">
        <v>24</v>
      </c>
      <c r="F12">
        <v>1003</v>
      </c>
      <c r="G12" s="1" t="s">
        <v>68</v>
      </c>
      <c r="H12" s="1" t="s">
        <v>27</v>
      </c>
      <c r="I12" t="s">
        <v>28</v>
      </c>
      <c r="J12" t="s">
        <v>62</v>
      </c>
      <c r="K12" t="s">
        <v>38</v>
      </c>
      <c r="L12" t="s">
        <v>64</v>
      </c>
      <c r="M12" t="s">
        <v>32</v>
      </c>
      <c r="N12">
        <v>104</v>
      </c>
      <c r="O12" t="s">
        <v>69</v>
      </c>
      <c r="P12" s="2">
        <v>46034</v>
      </c>
      <c r="Q12" s="2">
        <v>46148</v>
      </c>
      <c r="R12" t="s">
        <v>33</v>
      </c>
      <c r="S12" t="s">
        <v>70</v>
      </c>
      <c r="T12" t="s">
        <v>35</v>
      </c>
      <c r="V12" t="s">
        <v>36</v>
      </c>
    </row>
    <row r="13" spans="1:22" x14ac:dyDescent="0.25">
      <c r="A13">
        <v>202620</v>
      </c>
      <c r="B13" t="s">
        <v>22</v>
      </c>
      <c r="C13" t="s">
        <v>23</v>
      </c>
      <c r="D13">
        <v>20463</v>
      </c>
      <c r="E13" t="s">
        <v>24</v>
      </c>
      <c r="F13">
        <v>1003</v>
      </c>
      <c r="G13" s="1" t="s">
        <v>71</v>
      </c>
      <c r="H13" s="1" t="s">
        <v>27</v>
      </c>
      <c r="I13" t="s">
        <v>28</v>
      </c>
      <c r="J13" t="s">
        <v>62</v>
      </c>
      <c r="K13" t="s">
        <v>38</v>
      </c>
      <c r="L13" t="s">
        <v>39</v>
      </c>
      <c r="M13" t="s">
        <v>72</v>
      </c>
      <c r="N13">
        <v>221</v>
      </c>
      <c r="O13" t="s">
        <v>73</v>
      </c>
      <c r="P13" s="2">
        <v>46034</v>
      </c>
      <c r="Q13" s="2">
        <v>46148</v>
      </c>
      <c r="R13" t="s">
        <v>50</v>
      </c>
      <c r="S13" t="s">
        <v>74</v>
      </c>
      <c r="T13" t="s">
        <v>35</v>
      </c>
      <c r="V13" t="s">
        <v>36</v>
      </c>
    </row>
    <row r="14" spans="1:22" x14ac:dyDescent="0.25">
      <c r="A14">
        <v>202620</v>
      </c>
      <c r="B14" t="s">
        <v>22</v>
      </c>
      <c r="C14" t="s">
        <v>23</v>
      </c>
      <c r="D14">
        <v>20954</v>
      </c>
      <c r="E14" t="s">
        <v>24</v>
      </c>
      <c r="F14">
        <v>1003</v>
      </c>
      <c r="G14" t="s">
        <v>75</v>
      </c>
      <c r="H14" s="1" t="s">
        <v>27</v>
      </c>
      <c r="I14" t="s">
        <v>28</v>
      </c>
      <c r="J14" t="s">
        <v>62</v>
      </c>
      <c r="K14" t="s">
        <v>76</v>
      </c>
      <c r="L14" t="s">
        <v>56</v>
      </c>
      <c r="M14" t="s">
        <v>77</v>
      </c>
      <c r="N14">
        <v>111</v>
      </c>
      <c r="O14" t="s">
        <v>78</v>
      </c>
      <c r="P14" s="2">
        <v>46034</v>
      </c>
      <c r="Q14" s="2">
        <v>46148</v>
      </c>
      <c r="R14" t="s">
        <v>79</v>
      </c>
      <c r="S14" t="s">
        <v>80</v>
      </c>
      <c r="T14" t="s">
        <v>35</v>
      </c>
      <c r="V14" t="s">
        <v>81</v>
      </c>
    </row>
    <row r="15" spans="1:22" x14ac:dyDescent="0.25">
      <c r="A15">
        <v>202620</v>
      </c>
      <c r="B15" t="s">
        <v>22</v>
      </c>
      <c r="C15" t="s">
        <v>23</v>
      </c>
      <c r="D15">
        <v>20954</v>
      </c>
      <c r="E15" t="s">
        <v>24</v>
      </c>
      <c r="F15">
        <v>1003</v>
      </c>
      <c r="G15" t="s">
        <v>75</v>
      </c>
      <c r="H15" s="1" t="s">
        <v>27</v>
      </c>
      <c r="I15" t="s">
        <v>28</v>
      </c>
      <c r="J15" t="s">
        <v>62</v>
      </c>
      <c r="K15" t="s">
        <v>76</v>
      </c>
      <c r="L15" t="s">
        <v>56</v>
      </c>
      <c r="M15" t="s">
        <v>77</v>
      </c>
      <c r="N15">
        <v>111</v>
      </c>
      <c r="O15" t="s">
        <v>78</v>
      </c>
      <c r="P15" s="2">
        <v>46034</v>
      </c>
      <c r="Q15" s="2">
        <v>46148</v>
      </c>
      <c r="R15" t="s">
        <v>82</v>
      </c>
      <c r="S15" t="s">
        <v>80</v>
      </c>
      <c r="T15" t="s">
        <v>35</v>
      </c>
      <c r="V15" t="s">
        <v>81</v>
      </c>
    </row>
    <row r="16" spans="1:22" x14ac:dyDescent="0.25">
      <c r="A16">
        <v>202620</v>
      </c>
      <c r="B16" t="s">
        <v>22</v>
      </c>
      <c r="C16" t="s">
        <v>23</v>
      </c>
      <c r="D16">
        <v>20957</v>
      </c>
      <c r="E16" t="s">
        <v>24</v>
      </c>
      <c r="F16">
        <v>1003</v>
      </c>
      <c r="G16" t="s">
        <v>83</v>
      </c>
      <c r="H16" s="1" t="s">
        <v>27</v>
      </c>
      <c r="I16" t="s">
        <v>28</v>
      </c>
      <c r="J16" t="s">
        <v>62</v>
      </c>
      <c r="K16" t="s">
        <v>30</v>
      </c>
      <c r="L16" t="s">
        <v>31</v>
      </c>
      <c r="M16" t="s">
        <v>77</v>
      </c>
      <c r="N16">
        <v>111</v>
      </c>
      <c r="O16" s="2">
        <v>46957</v>
      </c>
      <c r="P16" s="2">
        <v>46034</v>
      </c>
      <c r="Q16" s="2">
        <v>46148</v>
      </c>
      <c r="R16" t="s">
        <v>79</v>
      </c>
      <c r="S16" t="s">
        <v>84</v>
      </c>
      <c r="T16" t="s">
        <v>35</v>
      </c>
      <c r="V16" t="s">
        <v>81</v>
      </c>
    </row>
    <row r="17" spans="1:22" x14ac:dyDescent="0.25">
      <c r="A17">
        <v>202620</v>
      </c>
      <c r="B17" t="s">
        <v>22</v>
      </c>
      <c r="C17" t="s">
        <v>23</v>
      </c>
      <c r="D17">
        <v>20957</v>
      </c>
      <c r="E17" t="s">
        <v>24</v>
      </c>
      <c r="F17">
        <v>1003</v>
      </c>
      <c r="G17" t="s">
        <v>83</v>
      </c>
      <c r="H17" s="1" t="s">
        <v>27</v>
      </c>
      <c r="I17" t="s">
        <v>28</v>
      </c>
      <c r="J17" t="s">
        <v>62</v>
      </c>
      <c r="K17" t="s">
        <v>30</v>
      </c>
      <c r="L17" t="s">
        <v>31</v>
      </c>
      <c r="M17" t="s">
        <v>77</v>
      </c>
      <c r="N17">
        <v>111</v>
      </c>
      <c r="O17" s="2">
        <v>46957</v>
      </c>
      <c r="P17" s="2">
        <v>46034</v>
      </c>
      <c r="Q17" s="2">
        <v>46148</v>
      </c>
      <c r="R17" t="s">
        <v>85</v>
      </c>
      <c r="S17" t="s">
        <v>84</v>
      </c>
      <c r="T17" t="s">
        <v>35</v>
      </c>
      <c r="V17" t="s">
        <v>81</v>
      </c>
    </row>
    <row r="18" spans="1:22" x14ac:dyDescent="0.25">
      <c r="A18">
        <v>202620</v>
      </c>
      <c r="B18" t="s">
        <v>22</v>
      </c>
      <c r="C18" t="s">
        <v>23</v>
      </c>
      <c r="D18">
        <v>21140</v>
      </c>
      <c r="E18" t="s">
        <v>24</v>
      </c>
      <c r="F18">
        <v>1003</v>
      </c>
      <c r="G18" t="s">
        <v>86</v>
      </c>
      <c r="H18" s="1" t="s">
        <v>27</v>
      </c>
      <c r="I18" t="s">
        <v>28</v>
      </c>
      <c r="J18" t="s">
        <v>62</v>
      </c>
      <c r="K18" t="s">
        <v>48</v>
      </c>
      <c r="L18" t="s">
        <v>48</v>
      </c>
      <c r="M18" t="s">
        <v>87</v>
      </c>
      <c r="N18" t="s">
        <v>88</v>
      </c>
      <c r="O18" t="e">
        <f>-2 / 0 / 999</f>
        <v>#DIV/0!</v>
      </c>
      <c r="P18" s="2">
        <v>46034</v>
      </c>
      <c r="Q18" s="2">
        <v>46148</v>
      </c>
      <c r="R18" t="s">
        <v>89</v>
      </c>
      <c r="S18" t="s">
        <v>90</v>
      </c>
      <c r="T18" t="s">
        <v>35</v>
      </c>
      <c r="V18" t="s">
        <v>91</v>
      </c>
    </row>
    <row r="19" spans="1:22" x14ac:dyDescent="0.25">
      <c r="A19">
        <v>202620</v>
      </c>
      <c r="B19" t="s">
        <v>22</v>
      </c>
      <c r="C19" t="s">
        <v>23</v>
      </c>
      <c r="D19">
        <v>20462</v>
      </c>
      <c r="E19" t="s">
        <v>24</v>
      </c>
      <c r="F19">
        <v>1003</v>
      </c>
      <c r="G19" t="s">
        <v>47</v>
      </c>
      <c r="H19" s="1" t="s">
        <v>27</v>
      </c>
      <c r="I19" t="s">
        <v>28</v>
      </c>
      <c r="J19" t="s">
        <v>62</v>
      </c>
      <c r="K19" t="s">
        <v>48</v>
      </c>
      <c r="L19" t="s">
        <v>48</v>
      </c>
      <c r="M19" t="s">
        <v>49</v>
      </c>
      <c r="N19" t="s">
        <v>49</v>
      </c>
      <c r="O19" t="e">
        <f>-13 / 0 / na</f>
        <v>#DIV/0!</v>
      </c>
      <c r="P19" s="2">
        <v>46034</v>
      </c>
      <c r="Q19" s="2">
        <v>46148</v>
      </c>
      <c r="R19" t="s">
        <v>50</v>
      </c>
      <c r="S19" t="s">
        <v>92</v>
      </c>
      <c r="T19" t="s">
        <v>35</v>
      </c>
      <c r="U19" t="s">
        <v>52</v>
      </c>
      <c r="V19" t="s">
        <v>53</v>
      </c>
    </row>
    <row r="20" spans="1:22" x14ac:dyDescent="0.25">
      <c r="A20">
        <v>202620</v>
      </c>
      <c r="B20" t="s">
        <v>22</v>
      </c>
      <c r="C20" t="s">
        <v>23</v>
      </c>
      <c r="D20">
        <v>20464</v>
      </c>
      <c r="E20" t="s">
        <v>24</v>
      </c>
      <c r="F20">
        <v>1003</v>
      </c>
      <c r="G20" t="s">
        <v>93</v>
      </c>
      <c r="H20" s="1" t="s">
        <v>27</v>
      </c>
      <c r="I20" t="s">
        <v>28</v>
      </c>
      <c r="J20" t="s">
        <v>62</v>
      </c>
      <c r="K20" t="s">
        <v>48</v>
      </c>
      <c r="L20" t="s">
        <v>48</v>
      </c>
      <c r="M20" t="s">
        <v>49</v>
      </c>
      <c r="N20" t="s">
        <v>49</v>
      </c>
      <c r="O20" t="s">
        <v>94</v>
      </c>
      <c r="P20" s="2">
        <v>46034</v>
      </c>
      <c r="Q20" s="2">
        <v>46148</v>
      </c>
      <c r="R20" t="s">
        <v>50</v>
      </c>
      <c r="S20" t="s">
        <v>95</v>
      </c>
      <c r="T20" t="s">
        <v>35</v>
      </c>
      <c r="U20" t="s">
        <v>52</v>
      </c>
      <c r="V20" t="s">
        <v>53</v>
      </c>
    </row>
    <row r="21" spans="1:22" x14ac:dyDescent="0.25">
      <c r="A21">
        <v>202620</v>
      </c>
      <c r="B21" t="s">
        <v>22</v>
      </c>
      <c r="C21" t="s">
        <v>23</v>
      </c>
      <c r="D21">
        <v>20480</v>
      </c>
      <c r="E21" t="s">
        <v>24</v>
      </c>
      <c r="F21">
        <v>1110</v>
      </c>
      <c r="G21" s="1" t="s">
        <v>43</v>
      </c>
      <c r="H21" s="1" t="s">
        <v>27</v>
      </c>
      <c r="I21" t="s">
        <v>28</v>
      </c>
      <c r="J21" t="s">
        <v>96</v>
      </c>
      <c r="K21" t="s">
        <v>76</v>
      </c>
      <c r="L21" t="s">
        <v>66</v>
      </c>
      <c r="M21" t="s">
        <v>72</v>
      </c>
      <c r="N21">
        <v>221</v>
      </c>
      <c r="O21" t="e">
        <f>-23 / 0 / 50</f>
        <v>#DIV/0!</v>
      </c>
      <c r="P21" s="2">
        <v>46034</v>
      </c>
      <c r="Q21" s="2">
        <v>46148</v>
      </c>
      <c r="R21" t="s">
        <v>41</v>
      </c>
      <c r="S21" t="s">
        <v>97</v>
      </c>
      <c r="T21" t="s">
        <v>35</v>
      </c>
      <c r="V21" t="s">
        <v>36</v>
      </c>
    </row>
    <row r="22" spans="1:22" x14ac:dyDescent="0.25">
      <c r="A22">
        <v>202620</v>
      </c>
      <c r="B22" t="s">
        <v>22</v>
      </c>
      <c r="C22" t="s">
        <v>23</v>
      </c>
      <c r="D22">
        <v>21096</v>
      </c>
      <c r="E22" t="s">
        <v>24</v>
      </c>
      <c r="F22">
        <v>1110</v>
      </c>
      <c r="G22" t="s">
        <v>98</v>
      </c>
      <c r="H22" s="1" t="s">
        <v>27</v>
      </c>
      <c r="I22" t="s">
        <v>28</v>
      </c>
      <c r="J22" t="s">
        <v>96</v>
      </c>
      <c r="K22" t="s">
        <v>48</v>
      </c>
      <c r="L22" t="s">
        <v>48</v>
      </c>
      <c r="M22" t="s">
        <v>99</v>
      </c>
      <c r="N22" t="s">
        <v>100</v>
      </c>
      <c r="O22" t="s">
        <v>101</v>
      </c>
      <c r="P22" s="2">
        <v>46034</v>
      </c>
      <c r="Q22" s="2">
        <v>46148</v>
      </c>
      <c r="R22" t="s">
        <v>102</v>
      </c>
      <c r="S22" t="s">
        <v>103</v>
      </c>
      <c r="T22" t="s">
        <v>35</v>
      </c>
      <c r="U22" t="s">
        <v>52</v>
      </c>
      <c r="V22" t="s">
        <v>91</v>
      </c>
    </row>
    <row r="23" spans="1:22" x14ac:dyDescent="0.25">
      <c r="A23">
        <v>202620</v>
      </c>
      <c r="B23" t="s">
        <v>22</v>
      </c>
      <c r="C23" t="s">
        <v>23</v>
      </c>
      <c r="D23">
        <v>21098</v>
      </c>
      <c r="E23" t="s">
        <v>24</v>
      </c>
      <c r="F23">
        <v>1110</v>
      </c>
      <c r="G23" t="s">
        <v>104</v>
      </c>
      <c r="H23" s="1" t="s">
        <v>27</v>
      </c>
      <c r="I23" t="s">
        <v>28</v>
      </c>
      <c r="J23" t="s">
        <v>96</v>
      </c>
      <c r="K23" t="s">
        <v>48</v>
      </c>
      <c r="L23" t="s">
        <v>48</v>
      </c>
      <c r="M23" t="s">
        <v>99</v>
      </c>
      <c r="N23" t="s">
        <v>100</v>
      </c>
      <c r="O23">
        <f>-19 / 35 / 99999</f>
        <v>-5.4286257148285768E-6</v>
      </c>
      <c r="P23" s="2">
        <v>46034</v>
      </c>
      <c r="Q23" s="2">
        <v>46148</v>
      </c>
      <c r="R23" t="s">
        <v>105</v>
      </c>
      <c r="S23" t="s">
        <v>106</v>
      </c>
      <c r="T23" t="s">
        <v>35</v>
      </c>
      <c r="U23" t="s">
        <v>52</v>
      </c>
      <c r="V23" t="s">
        <v>91</v>
      </c>
    </row>
    <row r="24" spans="1:22" x14ac:dyDescent="0.25">
      <c r="A24">
        <v>202620</v>
      </c>
      <c r="B24" t="s">
        <v>22</v>
      </c>
      <c r="C24" t="s">
        <v>23</v>
      </c>
      <c r="D24">
        <v>21089</v>
      </c>
      <c r="E24" t="s">
        <v>24</v>
      </c>
      <c r="F24">
        <v>1110</v>
      </c>
      <c r="G24" t="s">
        <v>86</v>
      </c>
      <c r="H24" s="1" t="s">
        <v>27</v>
      </c>
      <c r="I24" t="s">
        <v>28</v>
      </c>
      <c r="J24" t="s">
        <v>96</v>
      </c>
      <c r="K24" t="s">
        <v>48</v>
      </c>
      <c r="L24" t="s">
        <v>48</v>
      </c>
      <c r="M24" t="s">
        <v>107</v>
      </c>
      <c r="N24" t="s">
        <v>108</v>
      </c>
      <c r="O24" t="s">
        <v>109</v>
      </c>
      <c r="P24" s="2">
        <v>46034</v>
      </c>
      <c r="Q24" s="2">
        <v>46148</v>
      </c>
      <c r="R24" t="s">
        <v>110</v>
      </c>
      <c r="S24" t="s">
        <v>111</v>
      </c>
      <c r="T24" t="s">
        <v>35</v>
      </c>
      <c r="V24" t="s">
        <v>91</v>
      </c>
    </row>
    <row r="25" spans="1:22" x14ac:dyDescent="0.25">
      <c r="A25">
        <v>202620</v>
      </c>
      <c r="B25" t="s">
        <v>22</v>
      </c>
      <c r="C25" t="s">
        <v>23</v>
      </c>
      <c r="D25">
        <v>21113</v>
      </c>
      <c r="E25" t="s">
        <v>24</v>
      </c>
      <c r="F25">
        <v>1110</v>
      </c>
      <c r="G25" t="s">
        <v>112</v>
      </c>
      <c r="H25" s="1" t="s">
        <v>27</v>
      </c>
      <c r="I25" t="s">
        <v>28</v>
      </c>
      <c r="J25" t="s">
        <v>96</v>
      </c>
      <c r="K25" t="s">
        <v>48</v>
      </c>
      <c r="L25" t="s">
        <v>48</v>
      </c>
      <c r="M25" t="s">
        <v>113</v>
      </c>
      <c r="N25" t="s">
        <v>114</v>
      </c>
      <c r="O25" t="s">
        <v>115</v>
      </c>
      <c r="P25" s="2">
        <v>46034</v>
      </c>
      <c r="Q25" s="2">
        <v>46148</v>
      </c>
      <c r="R25" t="s">
        <v>116</v>
      </c>
      <c r="S25" t="s">
        <v>117</v>
      </c>
      <c r="T25" t="s">
        <v>35</v>
      </c>
      <c r="V25" t="s">
        <v>91</v>
      </c>
    </row>
    <row r="26" spans="1:22" x14ac:dyDescent="0.25">
      <c r="A26">
        <v>202620</v>
      </c>
      <c r="B26" t="s">
        <v>22</v>
      </c>
      <c r="C26" t="s">
        <v>23</v>
      </c>
      <c r="D26">
        <v>21121</v>
      </c>
      <c r="E26" t="s">
        <v>24</v>
      </c>
      <c r="F26">
        <v>1110</v>
      </c>
      <c r="G26" t="s">
        <v>118</v>
      </c>
      <c r="H26" s="1" t="s">
        <v>27</v>
      </c>
      <c r="I26" t="s">
        <v>28</v>
      </c>
      <c r="J26" t="s">
        <v>96</v>
      </c>
      <c r="K26" t="s">
        <v>48</v>
      </c>
      <c r="L26" t="s">
        <v>48</v>
      </c>
      <c r="M26" t="s">
        <v>119</v>
      </c>
      <c r="N26" t="s">
        <v>120</v>
      </c>
      <c r="O26">
        <f>-6 / 17 / 99999</f>
        <v>-3.5294470591764744E-6</v>
      </c>
      <c r="P26" s="2">
        <v>46034</v>
      </c>
      <c r="Q26" s="2">
        <v>46148</v>
      </c>
      <c r="R26" t="s">
        <v>121</v>
      </c>
      <c r="S26" t="s">
        <v>122</v>
      </c>
      <c r="T26" t="s">
        <v>35</v>
      </c>
      <c r="V26" t="s">
        <v>91</v>
      </c>
    </row>
    <row r="27" spans="1:22" x14ac:dyDescent="0.25">
      <c r="A27">
        <v>202620</v>
      </c>
      <c r="B27" t="s">
        <v>22</v>
      </c>
      <c r="C27" t="s">
        <v>23</v>
      </c>
      <c r="D27">
        <v>21128</v>
      </c>
      <c r="E27" t="s">
        <v>24</v>
      </c>
      <c r="F27">
        <v>1110</v>
      </c>
      <c r="G27" t="s">
        <v>123</v>
      </c>
      <c r="H27" s="1" t="s">
        <v>27</v>
      </c>
      <c r="I27" t="s">
        <v>28</v>
      </c>
      <c r="J27" t="s">
        <v>96</v>
      </c>
      <c r="K27" t="s">
        <v>48</v>
      </c>
      <c r="L27" t="s">
        <v>48</v>
      </c>
      <c r="M27" t="s">
        <v>124</v>
      </c>
      <c r="N27" t="s">
        <v>120</v>
      </c>
      <c r="O27" t="e">
        <f>-5 / 0 / 99999</f>
        <v>#DIV/0!</v>
      </c>
      <c r="P27" s="2">
        <v>46034</v>
      </c>
      <c r="Q27" s="2">
        <v>46148</v>
      </c>
      <c r="R27" t="s">
        <v>125</v>
      </c>
      <c r="S27" t="s">
        <v>126</v>
      </c>
      <c r="T27" t="s">
        <v>35</v>
      </c>
      <c r="V27" t="s">
        <v>91</v>
      </c>
    </row>
    <row r="28" spans="1:22" x14ac:dyDescent="0.25">
      <c r="A28">
        <v>202620</v>
      </c>
      <c r="B28" t="s">
        <v>22</v>
      </c>
      <c r="C28" t="s">
        <v>23</v>
      </c>
      <c r="D28">
        <v>21131</v>
      </c>
      <c r="E28" t="s">
        <v>24</v>
      </c>
      <c r="F28">
        <v>1110</v>
      </c>
      <c r="G28" t="s">
        <v>127</v>
      </c>
      <c r="H28" s="1" t="s">
        <v>27</v>
      </c>
      <c r="I28" t="s">
        <v>28</v>
      </c>
      <c r="J28" t="s">
        <v>96</v>
      </c>
      <c r="K28" t="s">
        <v>48</v>
      </c>
      <c r="L28" t="s">
        <v>48</v>
      </c>
      <c r="M28" t="s">
        <v>128</v>
      </c>
      <c r="N28" t="s">
        <v>129</v>
      </c>
      <c r="O28" t="e">
        <f>-12 / 0 / 99999</f>
        <v>#DIV/0!</v>
      </c>
      <c r="P28" s="2">
        <v>46034</v>
      </c>
      <c r="Q28" s="2">
        <v>46148</v>
      </c>
      <c r="R28" t="s">
        <v>130</v>
      </c>
      <c r="S28" t="s">
        <v>131</v>
      </c>
      <c r="T28" t="s">
        <v>35</v>
      </c>
      <c r="V28" t="s">
        <v>91</v>
      </c>
    </row>
    <row r="29" spans="1:22" x14ac:dyDescent="0.25">
      <c r="A29">
        <v>202620</v>
      </c>
      <c r="B29" t="s">
        <v>22</v>
      </c>
      <c r="C29" t="s">
        <v>23</v>
      </c>
      <c r="D29">
        <v>21162</v>
      </c>
      <c r="E29" t="s">
        <v>24</v>
      </c>
      <c r="F29">
        <v>1110</v>
      </c>
      <c r="G29" t="s">
        <v>132</v>
      </c>
      <c r="H29" s="1" t="s">
        <v>27</v>
      </c>
      <c r="I29" t="s">
        <v>28</v>
      </c>
      <c r="J29" t="s">
        <v>96</v>
      </c>
      <c r="K29" t="s">
        <v>48</v>
      </c>
      <c r="L29" t="s">
        <v>48</v>
      </c>
      <c r="M29" t="s">
        <v>133</v>
      </c>
      <c r="N29" t="s">
        <v>134</v>
      </c>
      <c r="O29" t="s">
        <v>135</v>
      </c>
      <c r="P29" s="2">
        <v>46034</v>
      </c>
      <c r="Q29" s="2">
        <v>46148</v>
      </c>
      <c r="R29" t="s">
        <v>136</v>
      </c>
      <c r="S29" t="s">
        <v>137</v>
      </c>
      <c r="T29" t="s">
        <v>35</v>
      </c>
      <c r="V29" t="s">
        <v>91</v>
      </c>
    </row>
    <row r="30" spans="1:22" x14ac:dyDescent="0.25">
      <c r="A30">
        <v>202620</v>
      </c>
      <c r="B30" t="s">
        <v>22</v>
      </c>
      <c r="C30" t="s">
        <v>23</v>
      </c>
      <c r="D30">
        <v>21168</v>
      </c>
      <c r="E30" t="s">
        <v>24</v>
      </c>
      <c r="F30">
        <v>1110</v>
      </c>
      <c r="G30" t="s">
        <v>138</v>
      </c>
      <c r="H30" s="1" t="s">
        <v>27</v>
      </c>
      <c r="I30" t="s">
        <v>28</v>
      </c>
      <c r="J30" t="s">
        <v>96</v>
      </c>
      <c r="K30" t="s">
        <v>48</v>
      </c>
      <c r="L30" t="s">
        <v>48</v>
      </c>
      <c r="M30" t="s">
        <v>139</v>
      </c>
      <c r="N30" t="s">
        <v>140</v>
      </c>
      <c r="O30" t="e">
        <f>-12 / 0 / 99999</f>
        <v>#DIV/0!</v>
      </c>
      <c r="P30" s="2">
        <v>46034</v>
      </c>
      <c r="Q30" s="2">
        <v>46148</v>
      </c>
      <c r="R30" t="s">
        <v>141</v>
      </c>
      <c r="S30" t="s">
        <v>142</v>
      </c>
      <c r="T30" t="s">
        <v>35</v>
      </c>
      <c r="V30" t="s">
        <v>91</v>
      </c>
    </row>
    <row r="31" spans="1:22" x14ac:dyDescent="0.25">
      <c r="A31">
        <v>202620</v>
      </c>
      <c r="B31" t="s">
        <v>22</v>
      </c>
      <c r="C31" t="s">
        <v>23</v>
      </c>
      <c r="D31">
        <v>21926</v>
      </c>
      <c r="E31" t="s">
        <v>24</v>
      </c>
      <c r="F31">
        <v>1110</v>
      </c>
      <c r="G31" t="s">
        <v>143</v>
      </c>
      <c r="H31" s="1" t="s">
        <v>27</v>
      </c>
      <c r="I31" t="s">
        <v>28</v>
      </c>
      <c r="J31" t="s">
        <v>96</v>
      </c>
      <c r="K31" t="s">
        <v>48</v>
      </c>
      <c r="L31" t="s">
        <v>48</v>
      </c>
      <c r="M31" t="s">
        <v>128</v>
      </c>
      <c r="N31" t="s">
        <v>129</v>
      </c>
      <c r="O31" t="s">
        <v>144</v>
      </c>
      <c r="P31" s="2">
        <v>46034</v>
      </c>
      <c r="Q31" s="2">
        <v>46148</v>
      </c>
      <c r="R31" t="s">
        <v>130</v>
      </c>
      <c r="S31" t="s">
        <v>145</v>
      </c>
      <c r="T31" t="s">
        <v>35</v>
      </c>
      <c r="V31" t="s">
        <v>91</v>
      </c>
    </row>
    <row r="32" spans="1:22" x14ac:dyDescent="0.25">
      <c r="A32">
        <v>202620</v>
      </c>
      <c r="B32" t="s">
        <v>22</v>
      </c>
      <c r="C32" t="s">
        <v>23</v>
      </c>
      <c r="D32">
        <v>21928</v>
      </c>
      <c r="E32" t="s">
        <v>24</v>
      </c>
      <c r="F32">
        <v>1110</v>
      </c>
      <c r="G32" t="s">
        <v>146</v>
      </c>
      <c r="H32" s="1" t="s">
        <v>27</v>
      </c>
      <c r="I32" t="s">
        <v>28</v>
      </c>
      <c r="J32" t="s">
        <v>96</v>
      </c>
      <c r="K32" t="s">
        <v>48</v>
      </c>
      <c r="L32" t="s">
        <v>48</v>
      </c>
      <c r="M32" t="s">
        <v>128</v>
      </c>
      <c r="N32" t="s">
        <v>129</v>
      </c>
      <c r="O32" t="e">
        <f>-18 / 0 / 99999</f>
        <v>#DIV/0!</v>
      </c>
      <c r="P32" s="2">
        <v>46034</v>
      </c>
      <c r="Q32" s="2">
        <v>46148</v>
      </c>
      <c r="R32" t="s">
        <v>130</v>
      </c>
      <c r="S32" t="s">
        <v>147</v>
      </c>
      <c r="T32" t="s">
        <v>35</v>
      </c>
      <c r="V32" t="s">
        <v>91</v>
      </c>
    </row>
    <row r="33" spans="1:22" x14ac:dyDescent="0.25">
      <c r="A33">
        <v>202620</v>
      </c>
      <c r="B33" t="s">
        <v>22</v>
      </c>
      <c r="C33" t="s">
        <v>23</v>
      </c>
      <c r="D33">
        <v>21930</v>
      </c>
      <c r="E33" t="s">
        <v>24</v>
      </c>
      <c r="F33">
        <v>1110</v>
      </c>
      <c r="G33" t="s">
        <v>148</v>
      </c>
      <c r="H33" s="1" t="s">
        <v>27</v>
      </c>
      <c r="I33" t="s">
        <v>28</v>
      </c>
      <c r="J33" t="s">
        <v>96</v>
      </c>
      <c r="K33" t="s">
        <v>48</v>
      </c>
      <c r="L33" t="s">
        <v>48</v>
      </c>
      <c r="M33" t="s">
        <v>128</v>
      </c>
      <c r="N33" t="s">
        <v>129</v>
      </c>
      <c r="O33" t="e">
        <f>-12 / 0 / 99999</f>
        <v>#DIV/0!</v>
      </c>
      <c r="P33" s="2">
        <v>46034</v>
      </c>
      <c r="Q33" s="2">
        <v>46148</v>
      </c>
      <c r="R33" t="s">
        <v>130</v>
      </c>
      <c r="S33" t="s">
        <v>149</v>
      </c>
      <c r="T33" t="s">
        <v>35</v>
      </c>
      <c r="V33" t="s">
        <v>91</v>
      </c>
    </row>
    <row r="34" spans="1:22" x14ac:dyDescent="0.25">
      <c r="A34">
        <v>202620</v>
      </c>
      <c r="B34" t="s">
        <v>22</v>
      </c>
      <c r="C34" t="s">
        <v>23</v>
      </c>
      <c r="D34">
        <v>20467</v>
      </c>
      <c r="E34" t="s">
        <v>24</v>
      </c>
      <c r="F34">
        <v>1113</v>
      </c>
      <c r="G34" s="1" t="s">
        <v>26</v>
      </c>
      <c r="H34" s="1" t="s">
        <v>27</v>
      </c>
      <c r="I34" t="s">
        <v>28</v>
      </c>
      <c r="J34" t="s">
        <v>150</v>
      </c>
      <c r="K34" t="s">
        <v>38</v>
      </c>
      <c r="L34" t="s">
        <v>151</v>
      </c>
      <c r="M34" t="s">
        <v>32</v>
      </c>
      <c r="N34">
        <v>104</v>
      </c>
      <c r="O34" t="e">
        <f>-19 / 0 / 36</f>
        <v>#DIV/0!</v>
      </c>
      <c r="P34" s="2">
        <v>46034</v>
      </c>
      <c r="Q34" s="2">
        <v>46148</v>
      </c>
      <c r="R34" t="s">
        <v>57</v>
      </c>
      <c r="S34" t="s">
        <v>152</v>
      </c>
      <c r="T34" t="s">
        <v>35</v>
      </c>
      <c r="V34" t="s">
        <v>36</v>
      </c>
    </row>
    <row r="35" spans="1:22" x14ac:dyDescent="0.25">
      <c r="A35">
        <v>202620</v>
      </c>
      <c r="B35" t="s">
        <v>22</v>
      </c>
      <c r="C35" t="s">
        <v>23</v>
      </c>
      <c r="D35">
        <v>20453</v>
      </c>
      <c r="E35" t="s">
        <v>24</v>
      </c>
      <c r="F35">
        <v>1113</v>
      </c>
      <c r="G35" s="1" t="s">
        <v>37</v>
      </c>
      <c r="H35" s="1" t="s">
        <v>27</v>
      </c>
      <c r="I35" t="s">
        <v>28</v>
      </c>
      <c r="J35" t="s">
        <v>150</v>
      </c>
      <c r="K35" t="s">
        <v>30</v>
      </c>
      <c r="L35" t="s">
        <v>153</v>
      </c>
      <c r="M35" t="s">
        <v>32</v>
      </c>
      <c r="N35">
        <v>104</v>
      </c>
      <c r="O35" t="e">
        <f>-19 / 0 / 36</f>
        <v>#DIV/0!</v>
      </c>
      <c r="P35" s="2">
        <v>46034</v>
      </c>
      <c r="Q35" s="2">
        <v>46148</v>
      </c>
      <c r="R35" t="s">
        <v>33</v>
      </c>
      <c r="S35" t="s">
        <v>154</v>
      </c>
      <c r="T35" t="s">
        <v>35</v>
      </c>
      <c r="V35" t="s">
        <v>36</v>
      </c>
    </row>
    <row r="36" spans="1:22" x14ac:dyDescent="0.25">
      <c r="A36">
        <v>202620</v>
      </c>
      <c r="B36" t="s">
        <v>22</v>
      </c>
      <c r="C36" t="s">
        <v>23</v>
      </c>
      <c r="D36">
        <v>20482</v>
      </c>
      <c r="E36" t="s">
        <v>24</v>
      </c>
      <c r="F36">
        <v>1113</v>
      </c>
      <c r="G36" s="1" t="s">
        <v>43</v>
      </c>
      <c r="H36" s="1" t="s">
        <v>27</v>
      </c>
      <c r="I36" t="s">
        <v>28</v>
      </c>
      <c r="J36" t="s">
        <v>150</v>
      </c>
      <c r="K36" t="s">
        <v>38</v>
      </c>
      <c r="L36" t="s">
        <v>44</v>
      </c>
      <c r="M36" t="s">
        <v>72</v>
      </c>
      <c r="N36">
        <v>221</v>
      </c>
      <c r="O36" t="e">
        <f>-23 / 0 / 50</f>
        <v>#DIV/0!</v>
      </c>
      <c r="P36" s="2">
        <v>46034</v>
      </c>
      <c r="Q36" s="2">
        <v>46148</v>
      </c>
      <c r="R36" t="s">
        <v>41</v>
      </c>
      <c r="S36" t="s">
        <v>155</v>
      </c>
      <c r="T36" t="s">
        <v>35</v>
      </c>
      <c r="V36" t="s">
        <v>36</v>
      </c>
    </row>
    <row r="37" spans="1:22" x14ac:dyDescent="0.25">
      <c r="A37">
        <v>202620</v>
      </c>
      <c r="B37" t="s">
        <v>22</v>
      </c>
      <c r="C37" t="s">
        <v>23</v>
      </c>
      <c r="D37">
        <v>20455</v>
      </c>
      <c r="E37" t="s">
        <v>24</v>
      </c>
      <c r="F37">
        <v>1113</v>
      </c>
      <c r="G37" s="1" t="s">
        <v>71</v>
      </c>
      <c r="H37" s="1" t="s">
        <v>27</v>
      </c>
      <c r="I37" t="s">
        <v>28</v>
      </c>
      <c r="J37" t="s">
        <v>150</v>
      </c>
      <c r="K37" t="s">
        <v>30</v>
      </c>
      <c r="L37" t="s">
        <v>31</v>
      </c>
      <c r="M37" t="s">
        <v>32</v>
      </c>
      <c r="N37">
        <v>104</v>
      </c>
      <c r="O37" t="s">
        <v>156</v>
      </c>
      <c r="P37" s="2">
        <v>46034</v>
      </c>
      <c r="Q37" s="2">
        <v>46148</v>
      </c>
      <c r="R37" t="s">
        <v>157</v>
      </c>
      <c r="S37" t="s">
        <v>158</v>
      </c>
      <c r="T37" t="s">
        <v>35</v>
      </c>
      <c r="V37" t="s">
        <v>36</v>
      </c>
    </row>
    <row r="38" spans="1:22" x14ac:dyDescent="0.25">
      <c r="A38">
        <v>202620</v>
      </c>
      <c r="B38" t="s">
        <v>22</v>
      </c>
      <c r="C38" t="s">
        <v>23</v>
      </c>
      <c r="D38">
        <v>20959</v>
      </c>
      <c r="E38" t="s">
        <v>24</v>
      </c>
      <c r="F38">
        <v>1113</v>
      </c>
      <c r="G38" t="s">
        <v>75</v>
      </c>
      <c r="H38" s="1" t="s">
        <v>27</v>
      </c>
      <c r="I38" t="s">
        <v>28</v>
      </c>
      <c r="J38" t="s">
        <v>150</v>
      </c>
      <c r="K38" t="s">
        <v>76</v>
      </c>
      <c r="L38" t="s">
        <v>153</v>
      </c>
      <c r="M38" t="s">
        <v>77</v>
      </c>
      <c r="N38">
        <v>111</v>
      </c>
      <c r="O38" t="s">
        <v>78</v>
      </c>
      <c r="P38" s="2">
        <v>46034</v>
      </c>
      <c r="Q38" s="2">
        <v>46148</v>
      </c>
      <c r="R38" t="s">
        <v>79</v>
      </c>
      <c r="S38" t="s">
        <v>159</v>
      </c>
      <c r="T38" t="s">
        <v>35</v>
      </c>
      <c r="V38" t="s">
        <v>81</v>
      </c>
    </row>
    <row r="39" spans="1:22" x14ac:dyDescent="0.25">
      <c r="A39">
        <v>202620</v>
      </c>
      <c r="B39" t="s">
        <v>22</v>
      </c>
      <c r="C39" t="s">
        <v>23</v>
      </c>
      <c r="D39">
        <v>20959</v>
      </c>
      <c r="E39" t="s">
        <v>24</v>
      </c>
      <c r="F39">
        <v>1113</v>
      </c>
      <c r="G39" t="s">
        <v>75</v>
      </c>
      <c r="H39" s="1" t="s">
        <v>27</v>
      </c>
      <c r="I39" t="s">
        <v>28</v>
      </c>
      <c r="J39" t="s">
        <v>150</v>
      </c>
      <c r="K39" t="s">
        <v>76</v>
      </c>
      <c r="L39" t="s">
        <v>153</v>
      </c>
      <c r="M39" t="s">
        <v>77</v>
      </c>
      <c r="N39">
        <v>111</v>
      </c>
      <c r="O39" t="s">
        <v>78</v>
      </c>
      <c r="P39" s="2">
        <v>46034</v>
      </c>
      <c r="Q39" s="2">
        <v>46148</v>
      </c>
      <c r="R39" t="s">
        <v>82</v>
      </c>
      <c r="S39" t="s">
        <v>159</v>
      </c>
      <c r="T39" t="s">
        <v>35</v>
      </c>
      <c r="V39" t="s">
        <v>81</v>
      </c>
    </row>
    <row r="40" spans="1:22" x14ac:dyDescent="0.25">
      <c r="A40">
        <v>202620</v>
      </c>
      <c r="B40" t="s">
        <v>22</v>
      </c>
      <c r="C40" t="s">
        <v>23</v>
      </c>
      <c r="D40">
        <v>20959</v>
      </c>
      <c r="E40" t="s">
        <v>24</v>
      </c>
      <c r="F40">
        <v>1113</v>
      </c>
      <c r="G40" t="s">
        <v>75</v>
      </c>
      <c r="H40" s="1" t="s">
        <v>27</v>
      </c>
      <c r="I40" t="s">
        <v>28</v>
      </c>
      <c r="J40" t="s">
        <v>150</v>
      </c>
      <c r="K40" t="s">
        <v>76</v>
      </c>
      <c r="L40" t="s">
        <v>153</v>
      </c>
      <c r="M40" t="s">
        <v>77</v>
      </c>
      <c r="N40">
        <v>111</v>
      </c>
      <c r="O40" t="s">
        <v>78</v>
      </c>
      <c r="P40" s="2">
        <v>46034</v>
      </c>
      <c r="Q40" s="2">
        <v>46148</v>
      </c>
      <c r="R40" t="s">
        <v>85</v>
      </c>
      <c r="S40" t="s">
        <v>159</v>
      </c>
      <c r="T40" t="s">
        <v>35</v>
      </c>
      <c r="V40" t="s">
        <v>81</v>
      </c>
    </row>
    <row r="41" spans="1:22" x14ac:dyDescent="0.25">
      <c r="A41">
        <v>202620</v>
      </c>
      <c r="B41" t="s">
        <v>22</v>
      </c>
      <c r="C41" t="s">
        <v>23</v>
      </c>
      <c r="D41">
        <v>20961</v>
      </c>
      <c r="E41" t="s">
        <v>24</v>
      </c>
      <c r="F41">
        <v>1113</v>
      </c>
      <c r="G41" t="s">
        <v>83</v>
      </c>
      <c r="I41" t="s">
        <v>160</v>
      </c>
      <c r="J41" t="s">
        <v>150</v>
      </c>
      <c r="K41" t="s">
        <v>48</v>
      </c>
      <c r="L41" t="s">
        <v>48</v>
      </c>
      <c r="M41" t="s">
        <v>49</v>
      </c>
      <c r="N41" t="s">
        <v>49</v>
      </c>
      <c r="O41" t="s">
        <v>161</v>
      </c>
      <c r="R41" t="s">
        <v>162</v>
      </c>
      <c r="S41" t="s">
        <v>163</v>
      </c>
      <c r="T41" t="s">
        <v>35</v>
      </c>
      <c r="V41" t="s">
        <v>53</v>
      </c>
    </row>
    <row r="42" spans="1:22" x14ac:dyDescent="0.25">
      <c r="A42">
        <v>202620</v>
      </c>
      <c r="B42" t="s">
        <v>22</v>
      </c>
      <c r="C42" t="s">
        <v>23</v>
      </c>
      <c r="D42">
        <v>20963</v>
      </c>
      <c r="E42" t="s">
        <v>24</v>
      </c>
      <c r="F42">
        <v>1113</v>
      </c>
      <c r="G42" t="s">
        <v>164</v>
      </c>
      <c r="H42" s="1" t="s">
        <v>27</v>
      </c>
      <c r="I42" t="s">
        <v>28</v>
      </c>
      <c r="J42" t="s">
        <v>150</v>
      </c>
      <c r="K42" t="s">
        <v>165</v>
      </c>
      <c r="L42" t="s">
        <v>166</v>
      </c>
      <c r="M42" t="s">
        <v>77</v>
      </c>
      <c r="N42">
        <v>111</v>
      </c>
      <c r="O42" t="s">
        <v>167</v>
      </c>
      <c r="P42" s="2">
        <v>46034</v>
      </c>
      <c r="Q42" s="2">
        <v>46148</v>
      </c>
      <c r="R42" t="s">
        <v>79</v>
      </c>
      <c r="S42" t="s">
        <v>168</v>
      </c>
      <c r="T42" t="s">
        <v>35</v>
      </c>
      <c r="V42" t="s">
        <v>81</v>
      </c>
    </row>
    <row r="43" spans="1:22" x14ac:dyDescent="0.25">
      <c r="A43">
        <v>202620</v>
      </c>
      <c r="B43" t="s">
        <v>22</v>
      </c>
      <c r="C43" t="s">
        <v>23</v>
      </c>
      <c r="D43">
        <v>21095</v>
      </c>
      <c r="E43" t="s">
        <v>24</v>
      </c>
      <c r="F43">
        <v>1113</v>
      </c>
      <c r="G43" t="s">
        <v>98</v>
      </c>
      <c r="H43" s="1" t="s">
        <v>27</v>
      </c>
      <c r="I43" t="s">
        <v>28</v>
      </c>
      <c r="J43" t="s">
        <v>150</v>
      </c>
      <c r="K43" t="s">
        <v>48</v>
      </c>
      <c r="L43" t="s">
        <v>48</v>
      </c>
      <c r="M43" t="s">
        <v>99</v>
      </c>
      <c r="N43" t="s">
        <v>100</v>
      </c>
      <c r="O43" t="s">
        <v>101</v>
      </c>
      <c r="P43" s="2">
        <v>46034</v>
      </c>
      <c r="Q43" s="2">
        <v>46148</v>
      </c>
      <c r="R43" t="s">
        <v>102</v>
      </c>
      <c r="S43" t="s">
        <v>169</v>
      </c>
      <c r="T43" t="s">
        <v>35</v>
      </c>
      <c r="U43" t="s">
        <v>52</v>
      </c>
      <c r="V43" t="s">
        <v>91</v>
      </c>
    </row>
    <row r="44" spans="1:22" x14ac:dyDescent="0.25">
      <c r="A44">
        <v>202620</v>
      </c>
      <c r="B44" t="s">
        <v>22</v>
      </c>
      <c r="C44" t="s">
        <v>23</v>
      </c>
      <c r="D44">
        <v>21097</v>
      </c>
      <c r="E44" t="s">
        <v>24</v>
      </c>
      <c r="F44">
        <v>1113</v>
      </c>
      <c r="G44" t="s">
        <v>104</v>
      </c>
      <c r="H44" s="1" t="s">
        <v>27</v>
      </c>
      <c r="I44" t="s">
        <v>28</v>
      </c>
      <c r="J44" t="s">
        <v>150</v>
      </c>
      <c r="K44" t="s">
        <v>48</v>
      </c>
      <c r="L44" t="s">
        <v>48</v>
      </c>
      <c r="M44" t="s">
        <v>99</v>
      </c>
      <c r="N44" t="s">
        <v>100</v>
      </c>
      <c r="O44">
        <f>-19 / 35 / 99999</f>
        <v>-5.4286257148285768E-6</v>
      </c>
      <c r="P44" s="2">
        <v>46034</v>
      </c>
      <c r="Q44" s="2">
        <v>46148</v>
      </c>
      <c r="R44" t="s">
        <v>105</v>
      </c>
      <c r="S44" t="s">
        <v>170</v>
      </c>
      <c r="T44" t="s">
        <v>35</v>
      </c>
      <c r="U44" t="s">
        <v>52</v>
      </c>
      <c r="V44" t="s">
        <v>91</v>
      </c>
    </row>
    <row r="45" spans="1:22" x14ac:dyDescent="0.25">
      <c r="A45">
        <v>202620</v>
      </c>
      <c r="B45" t="s">
        <v>22</v>
      </c>
      <c r="C45" t="s">
        <v>23</v>
      </c>
      <c r="D45">
        <v>20470</v>
      </c>
      <c r="E45" t="s">
        <v>24</v>
      </c>
      <c r="F45">
        <v>1113</v>
      </c>
      <c r="G45" t="s">
        <v>171</v>
      </c>
      <c r="H45" s="1" t="s">
        <v>27</v>
      </c>
      <c r="I45" t="s">
        <v>28</v>
      </c>
      <c r="J45" t="s">
        <v>150</v>
      </c>
      <c r="K45" t="s">
        <v>48</v>
      </c>
      <c r="L45" t="s">
        <v>48</v>
      </c>
      <c r="M45" t="s">
        <v>49</v>
      </c>
      <c r="N45" t="s">
        <v>49</v>
      </c>
      <c r="O45" t="s">
        <v>172</v>
      </c>
      <c r="P45" s="2">
        <v>46034</v>
      </c>
      <c r="Q45" s="2">
        <v>46148</v>
      </c>
      <c r="R45" t="s">
        <v>57</v>
      </c>
      <c r="S45" t="s">
        <v>173</v>
      </c>
      <c r="T45" t="s">
        <v>35</v>
      </c>
      <c r="U45" t="s">
        <v>174</v>
      </c>
      <c r="V45" t="s">
        <v>53</v>
      </c>
    </row>
    <row r="46" spans="1:22" x14ac:dyDescent="0.25">
      <c r="A46">
        <v>202620</v>
      </c>
      <c r="B46" t="s">
        <v>22</v>
      </c>
      <c r="C46" t="s">
        <v>23</v>
      </c>
      <c r="D46">
        <v>20470</v>
      </c>
      <c r="E46" t="s">
        <v>24</v>
      </c>
      <c r="F46">
        <v>1113</v>
      </c>
      <c r="G46" t="s">
        <v>171</v>
      </c>
      <c r="H46" s="1" t="s">
        <v>27</v>
      </c>
      <c r="I46" t="s">
        <v>28</v>
      </c>
      <c r="J46" t="s">
        <v>150</v>
      </c>
      <c r="K46" t="s">
        <v>38</v>
      </c>
      <c r="L46" t="s">
        <v>64</v>
      </c>
      <c r="M46" t="s">
        <v>32</v>
      </c>
      <c r="N46">
        <v>269</v>
      </c>
      <c r="O46" s="2">
        <v>50039</v>
      </c>
      <c r="P46" s="2">
        <v>46034</v>
      </c>
      <c r="Q46" s="2">
        <v>46148</v>
      </c>
      <c r="R46" t="s">
        <v>57</v>
      </c>
      <c r="S46" t="s">
        <v>173</v>
      </c>
      <c r="T46" t="s">
        <v>35</v>
      </c>
      <c r="U46" t="s">
        <v>174</v>
      </c>
      <c r="V46" t="s">
        <v>36</v>
      </c>
    </row>
    <row r="47" spans="1:22" x14ac:dyDescent="0.25">
      <c r="A47">
        <v>202620</v>
      </c>
      <c r="B47" t="s">
        <v>22</v>
      </c>
      <c r="C47" t="s">
        <v>23</v>
      </c>
      <c r="D47">
        <v>21088</v>
      </c>
      <c r="E47" t="s">
        <v>24</v>
      </c>
      <c r="F47">
        <v>1113</v>
      </c>
      <c r="G47" t="s">
        <v>86</v>
      </c>
      <c r="H47" s="1" t="s">
        <v>27</v>
      </c>
      <c r="I47" t="s">
        <v>28</v>
      </c>
      <c r="J47" t="s">
        <v>150</v>
      </c>
      <c r="K47" t="s">
        <v>48</v>
      </c>
      <c r="L47" t="s">
        <v>48</v>
      </c>
      <c r="M47" t="s">
        <v>107</v>
      </c>
      <c r="N47" t="s">
        <v>108</v>
      </c>
      <c r="O47" t="s">
        <v>109</v>
      </c>
      <c r="P47" s="2">
        <v>46034</v>
      </c>
      <c r="Q47" s="2">
        <v>46148</v>
      </c>
      <c r="R47" t="s">
        <v>110</v>
      </c>
      <c r="S47" t="s">
        <v>175</v>
      </c>
      <c r="T47" t="s">
        <v>35</v>
      </c>
      <c r="V47" t="s">
        <v>91</v>
      </c>
    </row>
    <row r="48" spans="1:22" x14ac:dyDescent="0.25">
      <c r="A48">
        <v>202620</v>
      </c>
      <c r="B48" t="s">
        <v>22</v>
      </c>
      <c r="C48" t="s">
        <v>23</v>
      </c>
      <c r="D48">
        <v>21112</v>
      </c>
      <c r="E48" t="s">
        <v>24</v>
      </c>
      <c r="F48">
        <v>1113</v>
      </c>
      <c r="G48" t="s">
        <v>112</v>
      </c>
      <c r="H48" s="1" t="s">
        <v>27</v>
      </c>
      <c r="I48" t="s">
        <v>28</v>
      </c>
      <c r="J48" t="s">
        <v>150</v>
      </c>
      <c r="K48" t="s">
        <v>48</v>
      </c>
      <c r="L48" t="s">
        <v>48</v>
      </c>
      <c r="M48" t="s">
        <v>113</v>
      </c>
      <c r="N48" t="s">
        <v>114</v>
      </c>
      <c r="O48" t="s">
        <v>115</v>
      </c>
      <c r="P48" s="2">
        <v>46034</v>
      </c>
      <c r="Q48" s="2">
        <v>46148</v>
      </c>
      <c r="R48" t="s">
        <v>116</v>
      </c>
      <c r="S48" t="s">
        <v>176</v>
      </c>
      <c r="T48" t="s">
        <v>35</v>
      </c>
      <c r="V48" t="s">
        <v>91</v>
      </c>
    </row>
    <row r="49" spans="1:22" x14ac:dyDescent="0.25">
      <c r="A49">
        <v>202620</v>
      </c>
      <c r="B49" t="s">
        <v>22</v>
      </c>
      <c r="C49" t="s">
        <v>23</v>
      </c>
      <c r="D49">
        <v>21120</v>
      </c>
      <c r="E49" t="s">
        <v>24</v>
      </c>
      <c r="F49">
        <v>1113</v>
      </c>
      <c r="G49" t="s">
        <v>118</v>
      </c>
      <c r="H49" s="1" t="s">
        <v>27</v>
      </c>
      <c r="I49" t="s">
        <v>28</v>
      </c>
      <c r="J49" t="s">
        <v>150</v>
      </c>
      <c r="K49" t="s">
        <v>48</v>
      </c>
      <c r="L49" t="s">
        <v>48</v>
      </c>
      <c r="M49" t="s">
        <v>119</v>
      </c>
      <c r="N49" t="s">
        <v>120</v>
      </c>
      <c r="O49">
        <f>-6 / 17 / 99999</f>
        <v>-3.5294470591764744E-6</v>
      </c>
      <c r="P49" s="2">
        <v>46034</v>
      </c>
      <c r="Q49" s="2">
        <v>46148</v>
      </c>
      <c r="R49" t="s">
        <v>121</v>
      </c>
      <c r="S49" t="s">
        <v>177</v>
      </c>
      <c r="T49" t="s">
        <v>35</v>
      </c>
      <c r="V49" t="s">
        <v>91</v>
      </c>
    </row>
    <row r="50" spans="1:22" x14ac:dyDescent="0.25">
      <c r="A50">
        <v>202620</v>
      </c>
      <c r="B50" t="s">
        <v>22</v>
      </c>
      <c r="C50" t="s">
        <v>23</v>
      </c>
      <c r="D50">
        <v>21127</v>
      </c>
      <c r="E50" t="s">
        <v>24</v>
      </c>
      <c r="F50">
        <v>1113</v>
      </c>
      <c r="G50" t="s">
        <v>123</v>
      </c>
      <c r="H50" s="1" t="s">
        <v>27</v>
      </c>
      <c r="I50" t="s">
        <v>28</v>
      </c>
      <c r="J50" t="s">
        <v>150</v>
      </c>
      <c r="K50" t="s">
        <v>48</v>
      </c>
      <c r="L50" t="s">
        <v>48</v>
      </c>
      <c r="M50" t="s">
        <v>124</v>
      </c>
      <c r="N50" t="s">
        <v>120</v>
      </c>
      <c r="O50" t="e">
        <f>-5 / 0 / 99999</f>
        <v>#DIV/0!</v>
      </c>
      <c r="P50" s="2">
        <v>46034</v>
      </c>
      <c r="Q50" s="2">
        <v>46148</v>
      </c>
      <c r="R50" t="s">
        <v>125</v>
      </c>
      <c r="S50" t="s">
        <v>178</v>
      </c>
      <c r="T50" t="s">
        <v>35</v>
      </c>
      <c r="V50" t="s">
        <v>91</v>
      </c>
    </row>
    <row r="51" spans="1:22" x14ac:dyDescent="0.25">
      <c r="A51">
        <v>202620</v>
      </c>
      <c r="B51" t="s">
        <v>22</v>
      </c>
      <c r="C51" t="s">
        <v>23</v>
      </c>
      <c r="D51">
        <v>21130</v>
      </c>
      <c r="E51" t="s">
        <v>24</v>
      </c>
      <c r="F51">
        <v>1113</v>
      </c>
      <c r="G51" t="s">
        <v>127</v>
      </c>
      <c r="H51" s="1" t="s">
        <v>27</v>
      </c>
      <c r="I51" t="s">
        <v>28</v>
      </c>
      <c r="J51" t="s">
        <v>150</v>
      </c>
      <c r="K51" t="s">
        <v>48</v>
      </c>
      <c r="L51" t="s">
        <v>48</v>
      </c>
      <c r="M51" t="s">
        <v>128</v>
      </c>
      <c r="N51" t="s">
        <v>129</v>
      </c>
      <c r="O51" t="e">
        <f>-12 / 0 / 99999</f>
        <v>#DIV/0!</v>
      </c>
      <c r="P51" s="2">
        <v>46034</v>
      </c>
      <c r="Q51" s="2">
        <v>46148</v>
      </c>
      <c r="R51" t="s">
        <v>130</v>
      </c>
      <c r="S51" t="s">
        <v>179</v>
      </c>
      <c r="T51" t="s">
        <v>35</v>
      </c>
      <c r="V51" t="s">
        <v>91</v>
      </c>
    </row>
    <row r="52" spans="1:22" x14ac:dyDescent="0.25">
      <c r="A52">
        <v>202620</v>
      </c>
      <c r="B52" t="s">
        <v>22</v>
      </c>
      <c r="C52" t="s">
        <v>23</v>
      </c>
      <c r="D52">
        <v>21161</v>
      </c>
      <c r="E52" t="s">
        <v>24</v>
      </c>
      <c r="F52">
        <v>1113</v>
      </c>
      <c r="G52" t="s">
        <v>132</v>
      </c>
      <c r="H52" s="1" t="s">
        <v>27</v>
      </c>
      <c r="I52" t="s">
        <v>28</v>
      </c>
      <c r="J52" t="s">
        <v>150</v>
      </c>
      <c r="K52" t="s">
        <v>48</v>
      </c>
      <c r="L52" t="s">
        <v>48</v>
      </c>
      <c r="M52" t="s">
        <v>133</v>
      </c>
      <c r="N52" t="s">
        <v>134</v>
      </c>
      <c r="O52" t="s">
        <v>135</v>
      </c>
      <c r="P52" s="2">
        <v>46034</v>
      </c>
      <c r="Q52" s="2">
        <v>46148</v>
      </c>
      <c r="R52" t="s">
        <v>136</v>
      </c>
      <c r="S52" t="s">
        <v>180</v>
      </c>
      <c r="T52" t="s">
        <v>35</v>
      </c>
      <c r="V52" t="s">
        <v>91</v>
      </c>
    </row>
    <row r="53" spans="1:22" x14ac:dyDescent="0.25">
      <c r="A53">
        <v>202620</v>
      </c>
      <c r="B53" t="s">
        <v>22</v>
      </c>
      <c r="C53" t="s">
        <v>23</v>
      </c>
      <c r="D53">
        <v>21167</v>
      </c>
      <c r="E53" t="s">
        <v>24</v>
      </c>
      <c r="F53">
        <v>1113</v>
      </c>
      <c r="G53" t="s">
        <v>138</v>
      </c>
      <c r="H53" s="1" t="s">
        <v>27</v>
      </c>
      <c r="I53" t="s">
        <v>28</v>
      </c>
      <c r="J53" t="s">
        <v>150</v>
      </c>
      <c r="K53" t="s">
        <v>48</v>
      </c>
      <c r="L53" t="s">
        <v>48</v>
      </c>
      <c r="M53" t="s">
        <v>139</v>
      </c>
      <c r="N53" t="s">
        <v>140</v>
      </c>
      <c r="O53" t="e">
        <f>-12 / 0 / 99999</f>
        <v>#DIV/0!</v>
      </c>
      <c r="P53" s="2">
        <v>46034</v>
      </c>
      <c r="Q53" s="2">
        <v>46148</v>
      </c>
      <c r="R53" t="s">
        <v>141</v>
      </c>
      <c r="S53" t="s">
        <v>181</v>
      </c>
      <c r="T53" t="s">
        <v>35</v>
      </c>
      <c r="V53" t="s">
        <v>91</v>
      </c>
    </row>
    <row r="54" spans="1:22" x14ac:dyDescent="0.25">
      <c r="A54">
        <v>202620</v>
      </c>
      <c r="B54" t="s">
        <v>22</v>
      </c>
      <c r="C54" t="s">
        <v>23</v>
      </c>
      <c r="D54">
        <v>21925</v>
      </c>
      <c r="E54" t="s">
        <v>24</v>
      </c>
      <c r="F54">
        <v>1113</v>
      </c>
      <c r="G54" t="s">
        <v>143</v>
      </c>
      <c r="H54" s="1" t="s">
        <v>27</v>
      </c>
      <c r="I54" t="s">
        <v>28</v>
      </c>
      <c r="J54" t="s">
        <v>150</v>
      </c>
      <c r="K54" t="s">
        <v>48</v>
      </c>
      <c r="L54" t="s">
        <v>48</v>
      </c>
      <c r="M54" t="s">
        <v>128</v>
      </c>
      <c r="N54" t="s">
        <v>129</v>
      </c>
      <c r="O54" t="s">
        <v>182</v>
      </c>
      <c r="P54" s="2">
        <v>46034</v>
      </c>
      <c r="Q54" s="2">
        <v>46148</v>
      </c>
      <c r="R54" t="s">
        <v>130</v>
      </c>
      <c r="S54" t="s">
        <v>183</v>
      </c>
      <c r="T54" t="s">
        <v>35</v>
      </c>
      <c r="V54" t="s">
        <v>91</v>
      </c>
    </row>
    <row r="55" spans="1:22" x14ac:dyDescent="0.25">
      <c r="A55">
        <v>202620</v>
      </c>
      <c r="B55" t="s">
        <v>22</v>
      </c>
      <c r="C55" t="s">
        <v>23</v>
      </c>
      <c r="D55">
        <v>21927</v>
      </c>
      <c r="E55" t="s">
        <v>24</v>
      </c>
      <c r="F55">
        <v>1113</v>
      </c>
      <c r="G55" t="s">
        <v>146</v>
      </c>
      <c r="H55" s="1" t="s">
        <v>27</v>
      </c>
      <c r="I55" t="s">
        <v>28</v>
      </c>
      <c r="J55" t="s">
        <v>150</v>
      </c>
      <c r="K55" t="s">
        <v>48</v>
      </c>
      <c r="L55" t="s">
        <v>48</v>
      </c>
      <c r="M55" t="s">
        <v>128</v>
      </c>
      <c r="N55" t="s">
        <v>129</v>
      </c>
      <c r="O55" t="e">
        <f>-18 / 0 / 99999</f>
        <v>#DIV/0!</v>
      </c>
      <c r="P55" s="2">
        <v>46034</v>
      </c>
      <c r="Q55" s="2">
        <v>46148</v>
      </c>
      <c r="R55" t="s">
        <v>130</v>
      </c>
      <c r="S55" t="s">
        <v>184</v>
      </c>
      <c r="T55" t="s">
        <v>35</v>
      </c>
      <c r="V55" t="s">
        <v>91</v>
      </c>
    </row>
    <row r="56" spans="1:22" x14ac:dyDescent="0.25">
      <c r="A56">
        <v>202620</v>
      </c>
      <c r="B56" t="s">
        <v>22</v>
      </c>
      <c r="C56" t="s">
        <v>23</v>
      </c>
      <c r="D56">
        <v>21929</v>
      </c>
      <c r="E56" t="s">
        <v>24</v>
      </c>
      <c r="F56">
        <v>1113</v>
      </c>
      <c r="G56" t="s">
        <v>148</v>
      </c>
      <c r="H56" s="1" t="s">
        <v>27</v>
      </c>
      <c r="I56" t="s">
        <v>28</v>
      </c>
      <c r="J56" t="s">
        <v>150</v>
      </c>
      <c r="K56" t="s">
        <v>48</v>
      </c>
      <c r="L56" t="s">
        <v>48</v>
      </c>
      <c r="M56" t="s">
        <v>128</v>
      </c>
      <c r="N56" t="s">
        <v>129</v>
      </c>
      <c r="O56" t="e">
        <f>-12 / 0 / 99999</f>
        <v>#DIV/0!</v>
      </c>
      <c r="P56" s="2">
        <v>46034</v>
      </c>
      <c r="Q56" s="2">
        <v>46148</v>
      </c>
      <c r="R56" t="s">
        <v>130</v>
      </c>
      <c r="S56" t="s">
        <v>185</v>
      </c>
      <c r="T56" t="s">
        <v>35</v>
      </c>
      <c r="V56" t="s">
        <v>91</v>
      </c>
    </row>
    <row r="57" spans="1:22" x14ac:dyDescent="0.25">
      <c r="A57">
        <v>202620</v>
      </c>
      <c r="B57" t="s">
        <v>22</v>
      </c>
      <c r="C57" t="s">
        <v>23</v>
      </c>
      <c r="D57">
        <v>20469</v>
      </c>
      <c r="E57" t="s">
        <v>24</v>
      </c>
      <c r="F57">
        <v>1113</v>
      </c>
      <c r="G57" t="s">
        <v>47</v>
      </c>
      <c r="H57" s="1" t="s">
        <v>27</v>
      </c>
      <c r="I57" t="s">
        <v>28</v>
      </c>
      <c r="J57" t="s">
        <v>150</v>
      </c>
      <c r="K57" t="s">
        <v>48</v>
      </c>
      <c r="L57" t="s">
        <v>48</v>
      </c>
      <c r="M57" t="s">
        <v>49</v>
      </c>
      <c r="N57" t="s">
        <v>49</v>
      </c>
      <c r="O57" t="e">
        <f>-5 / 0 / na</f>
        <v>#DIV/0!</v>
      </c>
      <c r="P57" s="2">
        <v>46034</v>
      </c>
      <c r="Q57" s="2">
        <v>46148</v>
      </c>
      <c r="R57" t="s">
        <v>57</v>
      </c>
      <c r="S57" t="s">
        <v>186</v>
      </c>
      <c r="T57" t="s">
        <v>35</v>
      </c>
      <c r="U57" t="s">
        <v>52</v>
      </c>
      <c r="V57" t="s">
        <v>53</v>
      </c>
    </row>
    <row r="58" spans="1:22" x14ac:dyDescent="0.25">
      <c r="A58">
        <v>202620</v>
      </c>
      <c r="B58" t="s">
        <v>22</v>
      </c>
      <c r="C58" t="s">
        <v>23</v>
      </c>
      <c r="D58">
        <v>20485</v>
      </c>
      <c r="E58" t="s">
        <v>24</v>
      </c>
      <c r="F58">
        <v>1113</v>
      </c>
      <c r="G58" t="s">
        <v>93</v>
      </c>
      <c r="H58" s="1" t="s">
        <v>27</v>
      </c>
      <c r="I58" t="s">
        <v>28</v>
      </c>
      <c r="J58" t="s">
        <v>150</v>
      </c>
      <c r="K58" t="s">
        <v>48</v>
      </c>
      <c r="L58" t="s">
        <v>48</v>
      </c>
      <c r="M58" t="s">
        <v>49</v>
      </c>
      <c r="N58" t="s">
        <v>49</v>
      </c>
      <c r="O58" t="s">
        <v>187</v>
      </c>
      <c r="P58" s="2">
        <v>46034</v>
      </c>
      <c r="Q58" s="2">
        <v>46148</v>
      </c>
      <c r="R58" t="s">
        <v>45</v>
      </c>
      <c r="S58" t="s">
        <v>188</v>
      </c>
      <c r="T58" t="s">
        <v>35</v>
      </c>
      <c r="U58" t="s">
        <v>52</v>
      </c>
      <c r="V58" t="s">
        <v>53</v>
      </c>
    </row>
    <row r="59" spans="1:22" x14ac:dyDescent="0.25">
      <c r="A59">
        <v>202620</v>
      </c>
      <c r="B59" t="s">
        <v>22</v>
      </c>
      <c r="C59" t="s">
        <v>23</v>
      </c>
      <c r="D59">
        <v>21086</v>
      </c>
      <c r="E59" t="s">
        <v>24</v>
      </c>
      <c r="F59">
        <v>1203</v>
      </c>
      <c r="G59" t="s">
        <v>86</v>
      </c>
      <c r="H59" s="1" t="s">
        <v>27</v>
      </c>
      <c r="I59" t="s">
        <v>28</v>
      </c>
      <c r="J59" t="s">
        <v>189</v>
      </c>
      <c r="K59" t="s">
        <v>48</v>
      </c>
      <c r="L59" t="s">
        <v>48</v>
      </c>
      <c r="M59" t="s">
        <v>107</v>
      </c>
      <c r="N59" t="s">
        <v>108</v>
      </c>
      <c r="O59" t="s">
        <v>190</v>
      </c>
      <c r="P59" s="2">
        <v>46034</v>
      </c>
      <c r="Q59" s="2">
        <v>46148</v>
      </c>
      <c r="R59" t="s">
        <v>110</v>
      </c>
      <c r="S59" t="s">
        <v>191</v>
      </c>
      <c r="T59" t="s">
        <v>35</v>
      </c>
      <c r="V59" t="s">
        <v>91</v>
      </c>
    </row>
    <row r="60" spans="1:22" x14ac:dyDescent="0.25">
      <c r="A60">
        <v>202620</v>
      </c>
      <c r="B60" t="s">
        <v>22</v>
      </c>
      <c r="C60" t="s">
        <v>23</v>
      </c>
      <c r="D60">
        <v>21129</v>
      </c>
      <c r="E60" t="s">
        <v>24</v>
      </c>
      <c r="F60">
        <v>1203</v>
      </c>
      <c r="G60" t="s">
        <v>112</v>
      </c>
      <c r="H60" s="1" t="s">
        <v>27</v>
      </c>
      <c r="I60" t="s">
        <v>28</v>
      </c>
      <c r="J60" t="s">
        <v>189</v>
      </c>
      <c r="K60" t="s">
        <v>48</v>
      </c>
      <c r="L60" t="s">
        <v>48</v>
      </c>
      <c r="M60" t="s">
        <v>124</v>
      </c>
      <c r="N60" t="s">
        <v>120</v>
      </c>
      <c r="O60" t="e">
        <f>-2 / 0 / 99999</f>
        <v>#DIV/0!</v>
      </c>
      <c r="P60" s="2">
        <v>46034</v>
      </c>
      <c r="Q60" s="2">
        <v>46148</v>
      </c>
      <c r="R60" t="s">
        <v>125</v>
      </c>
      <c r="S60" t="s">
        <v>192</v>
      </c>
      <c r="T60" t="s">
        <v>35</v>
      </c>
      <c r="V60" t="s">
        <v>91</v>
      </c>
    </row>
    <row r="61" spans="1:22" x14ac:dyDescent="0.25">
      <c r="A61">
        <v>202620</v>
      </c>
      <c r="B61" t="s">
        <v>22</v>
      </c>
      <c r="C61" t="s">
        <v>23</v>
      </c>
      <c r="D61">
        <v>21160</v>
      </c>
      <c r="E61" t="s">
        <v>24</v>
      </c>
      <c r="F61">
        <v>1203</v>
      </c>
      <c r="G61" t="s">
        <v>118</v>
      </c>
      <c r="H61" s="1" t="s">
        <v>27</v>
      </c>
      <c r="I61" t="s">
        <v>28</v>
      </c>
      <c r="J61" t="s">
        <v>189</v>
      </c>
      <c r="K61" t="s">
        <v>48</v>
      </c>
      <c r="L61" t="s">
        <v>48</v>
      </c>
      <c r="M61" t="s">
        <v>133</v>
      </c>
      <c r="N61" t="s">
        <v>134</v>
      </c>
      <c r="O61" t="s">
        <v>193</v>
      </c>
      <c r="P61" s="2">
        <v>46034</v>
      </c>
      <c r="Q61" s="2">
        <v>46148</v>
      </c>
      <c r="R61" t="s">
        <v>136</v>
      </c>
      <c r="S61" t="s">
        <v>194</v>
      </c>
      <c r="T61" t="s">
        <v>35</v>
      </c>
      <c r="V61" t="s">
        <v>91</v>
      </c>
    </row>
    <row r="62" spans="1:22" x14ac:dyDescent="0.25">
      <c r="A62">
        <v>202620</v>
      </c>
      <c r="B62" t="s">
        <v>22</v>
      </c>
      <c r="C62" t="s">
        <v>23</v>
      </c>
      <c r="D62">
        <v>21165</v>
      </c>
      <c r="E62" t="s">
        <v>24</v>
      </c>
      <c r="F62">
        <v>1203</v>
      </c>
      <c r="G62" t="s">
        <v>123</v>
      </c>
      <c r="H62" s="1" t="s">
        <v>27</v>
      </c>
      <c r="I62" t="s">
        <v>28</v>
      </c>
      <c r="J62" t="s">
        <v>189</v>
      </c>
      <c r="K62" t="s">
        <v>48</v>
      </c>
      <c r="L62" t="s">
        <v>48</v>
      </c>
      <c r="M62" t="s">
        <v>195</v>
      </c>
      <c r="N62" t="s">
        <v>196</v>
      </c>
      <c r="O62" t="s">
        <v>197</v>
      </c>
      <c r="P62" s="2">
        <v>46034</v>
      </c>
      <c r="Q62" s="2">
        <v>46148</v>
      </c>
      <c r="R62" t="s">
        <v>198</v>
      </c>
      <c r="S62" t="s">
        <v>199</v>
      </c>
      <c r="T62" t="s">
        <v>35</v>
      </c>
      <c r="V62" t="s">
        <v>91</v>
      </c>
    </row>
    <row r="63" spans="1:22" x14ac:dyDescent="0.25">
      <c r="A63">
        <v>202620</v>
      </c>
      <c r="B63" t="s">
        <v>22</v>
      </c>
      <c r="C63" t="s">
        <v>23</v>
      </c>
      <c r="D63">
        <v>21169</v>
      </c>
      <c r="E63" t="s">
        <v>24</v>
      </c>
      <c r="F63">
        <v>1203</v>
      </c>
      <c r="G63" t="s">
        <v>127</v>
      </c>
      <c r="H63" s="1" t="s">
        <v>27</v>
      </c>
      <c r="I63" t="s">
        <v>28</v>
      </c>
      <c r="J63" t="s">
        <v>189</v>
      </c>
      <c r="K63" t="s">
        <v>48</v>
      </c>
      <c r="L63" t="s">
        <v>48</v>
      </c>
      <c r="M63" t="s">
        <v>139</v>
      </c>
      <c r="N63" t="s">
        <v>140</v>
      </c>
      <c r="O63" t="s">
        <v>200</v>
      </c>
      <c r="P63" s="2">
        <v>46034</v>
      </c>
      <c r="Q63" s="2">
        <v>46148</v>
      </c>
      <c r="R63" t="s">
        <v>201</v>
      </c>
      <c r="S63" t="s">
        <v>202</v>
      </c>
      <c r="T63" t="s">
        <v>35</v>
      </c>
      <c r="V63" t="s">
        <v>91</v>
      </c>
    </row>
    <row r="64" spans="1:22" x14ac:dyDescent="0.25">
      <c r="A64">
        <v>202620</v>
      </c>
      <c r="B64" t="s">
        <v>22</v>
      </c>
      <c r="C64" t="s">
        <v>23</v>
      </c>
      <c r="D64">
        <v>21890</v>
      </c>
      <c r="E64" t="s">
        <v>24</v>
      </c>
      <c r="F64">
        <v>1203</v>
      </c>
      <c r="G64" t="s">
        <v>132</v>
      </c>
      <c r="H64" s="1" t="s">
        <v>27</v>
      </c>
      <c r="I64" t="s">
        <v>28</v>
      </c>
      <c r="J64" t="s">
        <v>189</v>
      </c>
      <c r="K64" t="s">
        <v>48</v>
      </c>
      <c r="L64" t="s">
        <v>48</v>
      </c>
      <c r="M64" t="s">
        <v>128</v>
      </c>
      <c r="N64" t="s">
        <v>129</v>
      </c>
      <c r="O64" t="s">
        <v>203</v>
      </c>
      <c r="P64" s="2">
        <v>46034</v>
      </c>
      <c r="Q64" s="2">
        <v>46148</v>
      </c>
      <c r="R64" t="s">
        <v>204</v>
      </c>
      <c r="S64" t="s">
        <v>205</v>
      </c>
      <c r="T64" t="s">
        <v>35</v>
      </c>
      <c r="V64" t="s">
        <v>91</v>
      </c>
    </row>
    <row r="65" spans="1:22" x14ac:dyDescent="0.25">
      <c r="A65">
        <v>202620</v>
      </c>
      <c r="B65" t="s">
        <v>22</v>
      </c>
      <c r="C65" t="s">
        <v>23</v>
      </c>
      <c r="D65">
        <v>21891</v>
      </c>
      <c r="E65" t="s">
        <v>24</v>
      </c>
      <c r="F65">
        <v>1203</v>
      </c>
      <c r="G65" t="s">
        <v>138</v>
      </c>
      <c r="H65" s="1" t="s">
        <v>27</v>
      </c>
      <c r="I65" t="s">
        <v>28</v>
      </c>
      <c r="J65" t="s">
        <v>189</v>
      </c>
      <c r="K65" t="s">
        <v>48</v>
      </c>
      <c r="L65" t="s">
        <v>48</v>
      </c>
      <c r="M65" t="s">
        <v>128</v>
      </c>
      <c r="N65" t="s">
        <v>129</v>
      </c>
      <c r="O65" t="s">
        <v>206</v>
      </c>
      <c r="P65" s="2">
        <v>46034</v>
      </c>
      <c r="Q65" s="2">
        <v>46148</v>
      </c>
      <c r="R65" t="s">
        <v>204</v>
      </c>
      <c r="S65" t="s">
        <v>207</v>
      </c>
      <c r="T65" t="s">
        <v>35</v>
      </c>
      <c r="V65" t="s">
        <v>91</v>
      </c>
    </row>
    <row r="66" spans="1:22" x14ac:dyDescent="0.25">
      <c r="A66">
        <v>202620</v>
      </c>
      <c r="B66" t="s">
        <v>22</v>
      </c>
      <c r="C66" t="s">
        <v>23</v>
      </c>
      <c r="D66">
        <v>21892</v>
      </c>
      <c r="E66" t="s">
        <v>24</v>
      </c>
      <c r="F66">
        <v>1203</v>
      </c>
      <c r="G66" t="s">
        <v>143</v>
      </c>
      <c r="H66" s="1" t="s">
        <v>27</v>
      </c>
      <c r="I66" t="s">
        <v>28</v>
      </c>
      <c r="J66" t="s">
        <v>189</v>
      </c>
      <c r="K66" t="s">
        <v>48</v>
      </c>
      <c r="L66" t="s">
        <v>48</v>
      </c>
      <c r="M66" t="s">
        <v>128</v>
      </c>
      <c r="N66" t="s">
        <v>129</v>
      </c>
      <c r="O66" t="s">
        <v>208</v>
      </c>
      <c r="P66" s="2">
        <v>46034</v>
      </c>
      <c r="Q66" s="2">
        <v>46148</v>
      </c>
      <c r="R66" t="s">
        <v>204</v>
      </c>
      <c r="S66" t="s">
        <v>209</v>
      </c>
      <c r="T66" t="s">
        <v>35</v>
      </c>
      <c r="V66" t="s">
        <v>91</v>
      </c>
    </row>
    <row r="67" spans="1:22" x14ac:dyDescent="0.25">
      <c r="A67">
        <v>202620</v>
      </c>
      <c r="B67" t="s">
        <v>22</v>
      </c>
      <c r="C67" t="s">
        <v>23</v>
      </c>
      <c r="D67">
        <v>21955</v>
      </c>
      <c r="E67" t="s">
        <v>24</v>
      </c>
      <c r="F67">
        <v>1203</v>
      </c>
      <c r="G67" t="s">
        <v>146</v>
      </c>
      <c r="H67" s="1" t="s">
        <v>27</v>
      </c>
      <c r="I67" t="s">
        <v>28</v>
      </c>
      <c r="J67" t="s">
        <v>189</v>
      </c>
      <c r="K67" t="s">
        <v>48</v>
      </c>
      <c r="L67" t="s">
        <v>48</v>
      </c>
      <c r="M67" t="s">
        <v>139</v>
      </c>
      <c r="N67" t="s">
        <v>140</v>
      </c>
      <c r="O67">
        <f>-2 / 67 / 99999</f>
        <v>-2.9851044779104505E-7</v>
      </c>
      <c r="P67" s="2">
        <v>46034</v>
      </c>
      <c r="Q67" s="2">
        <v>46148</v>
      </c>
      <c r="R67" t="s">
        <v>141</v>
      </c>
      <c r="S67" t="s">
        <v>210</v>
      </c>
      <c r="T67" t="s">
        <v>35</v>
      </c>
      <c r="V67" t="s">
        <v>91</v>
      </c>
    </row>
    <row r="68" spans="1:22" x14ac:dyDescent="0.25">
      <c r="A68">
        <v>202620</v>
      </c>
      <c r="B68" t="s">
        <v>22</v>
      </c>
      <c r="C68" t="s">
        <v>23</v>
      </c>
      <c r="D68">
        <v>20489</v>
      </c>
      <c r="E68" t="s">
        <v>24</v>
      </c>
      <c r="F68">
        <v>1203</v>
      </c>
      <c r="G68" t="s">
        <v>47</v>
      </c>
      <c r="H68" s="1" t="s">
        <v>27</v>
      </c>
      <c r="I68" t="s">
        <v>28</v>
      </c>
      <c r="J68" t="s">
        <v>189</v>
      </c>
      <c r="K68" t="s">
        <v>48</v>
      </c>
      <c r="L68" t="s">
        <v>48</v>
      </c>
      <c r="M68" t="s">
        <v>49</v>
      </c>
      <c r="N68" t="s">
        <v>49</v>
      </c>
      <c r="O68" t="s">
        <v>211</v>
      </c>
      <c r="P68" s="2">
        <v>46034</v>
      </c>
      <c r="Q68" s="2">
        <v>46148</v>
      </c>
      <c r="R68" t="s">
        <v>212</v>
      </c>
      <c r="S68" t="s">
        <v>213</v>
      </c>
      <c r="T68" t="s">
        <v>35</v>
      </c>
      <c r="U68" t="s">
        <v>52</v>
      </c>
      <c r="V68" t="s">
        <v>53</v>
      </c>
    </row>
    <row r="69" spans="1:22" x14ac:dyDescent="0.25">
      <c r="A69">
        <v>202620</v>
      </c>
      <c r="B69" t="s">
        <v>22</v>
      </c>
      <c r="C69" t="s">
        <v>23</v>
      </c>
      <c r="D69">
        <v>20498</v>
      </c>
      <c r="E69" t="s">
        <v>24</v>
      </c>
      <c r="F69">
        <v>1914</v>
      </c>
      <c r="G69" s="1" t="s">
        <v>26</v>
      </c>
      <c r="H69" s="1" t="s">
        <v>27</v>
      </c>
      <c r="I69" t="s">
        <v>28</v>
      </c>
      <c r="J69" t="s">
        <v>214</v>
      </c>
      <c r="K69" t="s">
        <v>38</v>
      </c>
      <c r="L69" t="s">
        <v>59</v>
      </c>
      <c r="M69" t="s">
        <v>32</v>
      </c>
      <c r="N69">
        <v>101</v>
      </c>
      <c r="O69" t="s">
        <v>215</v>
      </c>
      <c r="P69" s="2">
        <v>46034</v>
      </c>
      <c r="Q69" s="2">
        <v>46148</v>
      </c>
      <c r="R69" t="s">
        <v>216</v>
      </c>
      <c r="S69" t="s">
        <v>217</v>
      </c>
      <c r="T69" t="s">
        <v>35</v>
      </c>
      <c r="V69" t="s">
        <v>36</v>
      </c>
    </row>
    <row r="70" spans="1:22" x14ac:dyDescent="0.25">
      <c r="A70">
        <v>202620</v>
      </c>
      <c r="B70" t="s">
        <v>22</v>
      </c>
      <c r="C70" t="s">
        <v>23</v>
      </c>
      <c r="D70">
        <v>20498</v>
      </c>
      <c r="E70" t="s">
        <v>24</v>
      </c>
      <c r="F70">
        <v>1914</v>
      </c>
      <c r="G70" s="1" t="s">
        <v>26</v>
      </c>
      <c r="H70" s="1" t="s">
        <v>27</v>
      </c>
      <c r="I70" t="s">
        <v>28</v>
      </c>
      <c r="J70" t="s">
        <v>214</v>
      </c>
      <c r="K70" t="s">
        <v>218</v>
      </c>
      <c r="L70" t="s">
        <v>31</v>
      </c>
      <c r="M70" t="s">
        <v>32</v>
      </c>
      <c r="N70">
        <v>101</v>
      </c>
      <c r="O70" t="s">
        <v>215</v>
      </c>
      <c r="P70" s="2">
        <v>46034</v>
      </c>
      <c r="Q70" s="2">
        <v>46148</v>
      </c>
      <c r="R70" t="s">
        <v>216</v>
      </c>
      <c r="S70" t="s">
        <v>217</v>
      </c>
      <c r="T70" t="s">
        <v>35</v>
      </c>
      <c r="V70" t="s">
        <v>36</v>
      </c>
    </row>
    <row r="71" spans="1:22" x14ac:dyDescent="0.25">
      <c r="A71">
        <v>202620</v>
      </c>
      <c r="B71" t="s">
        <v>22</v>
      </c>
      <c r="C71" t="s">
        <v>23</v>
      </c>
      <c r="D71">
        <v>20486</v>
      </c>
      <c r="E71" t="s">
        <v>24</v>
      </c>
      <c r="F71">
        <v>1914</v>
      </c>
      <c r="G71" s="1" t="s">
        <v>43</v>
      </c>
      <c r="H71" s="1" t="s">
        <v>27</v>
      </c>
      <c r="I71" t="s">
        <v>28</v>
      </c>
      <c r="J71" t="s">
        <v>214</v>
      </c>
      <c r="K71" t="s">
        <v>165</v>
      </c>
      <c r="L71" t="s">
        <v>31</v>
      </c>
      <c r="M71" t="s">
        <v>32</v>
      </c>
      <c r="N71">
        <v>102</v>
      </c>
      <c r="O71" t="s">
        <v>219</v>
      </c>
      <c r="P71" s="2">
        <v>46034</v>
      </c>
      <c r="Q71" s="2">
        <v>46148</v>
      </c>
      <c r="R71" t="s">
        <v>45</v>
      </c>
      <c r="S71" t="s">
        <v>220</v>
      </c>
      <c r="T71" t="s">
        <v>35</v>
      </c>
      <c r="V71" t="s">
        <v>36</v>
      </c>
    </row>
    <row r="72" spans="1:22" x14ac:dyDescent="0.25">
      <c r="A72">
        <v>202620</v>
      </c>
      <c r="B72" t="s">
        <v>22</v>
      </c>
      <c r="C72" t="s">
        <v>23</v>
      </c>
      <c r="D72">
        <v>20486</v>
      </c>
      <c r="E72" t="s">
        <v>24</v>
      </c>
      <c r="F72">
        <v>1914</v>
      </c>
      <c r="G72" s="1" t="s">
        <v>43</v>
      </c>
      <c r="H72" s="1" t="s">
        <v>27</v>
      </c>
      <c r="I72" t="s">
        <v>28</v>
      </c>
      <c r="J72" t="s">
        <v>214</v>
      </c>
      <c r="K72" t="s">
        <v>38</v>
      </c>
      <c r="L72" t="s">
        <v>64</v>
      </c>
      <c r="M72" t="s">
        <v>32</v>
      </c>
      <c r="N72">
        <v>268</v>
      </c>
      <c r="O72" t="s">
        <v>221</v>
      </c>
      <c r="P72" s="2">
        <v>46034</v>
      </c>
      <c r="Q72" s="2">
        <v>46148</v>
      </c>
      <c r="R72" t="s">
        <v>45</v>
      </c>
      <c r="S72" t="s">
        <v>220</v>
      </c>
      <c r="T72" t="s">
        <v>35</v>
      </c>
      <c r="V72" t="s">
        <v>36</v>
      </c>
    </row>
    <row r="73" spans="1:22" x14ac:dyDescent="0.25">
      <c r="A73">
        <v>202620</v>
      </c>
      <c r="B73" t="s">
        <v>22</v>
      </c>
      <c r="C73" t="s">
        <v>23</v>
      </c>
      <c r="D73">
        <v>21134</v>
      </c>
      <c r="E73" t="s">
        <v>24</v>
      </c>
      <c r="F73">
        <v>1914</v>
      </c>
      <c r="G73" t="s">
        <v>86</v>
      </c>
      <c r="H73" s="1" t="s">
        <v>27</v>
      </c>
      <c r="I73" t="s">
        <v>28</v>
      </c>
      <c r="J73" t="s">
        <v>214</v>
      </c>
      <c r="K73" t="s">
        <v>48</v>
      </c>
      <c r="L73" t="s">
        <v>48</v>
      </c>
      <c r="M73" t="s">
        <v>222</v>
      </c>
      <c r="N73" t="s">
        <v>223</v>
      </c>
      <c r="O73" t="s">
        <v>224</v>
      </c>
      <c r="P73" s="2">
        <v>46034</v>
      </c>
      <c r="Q73" s="2">
        <v>46148</v>
      </c>
      <c r="R73" t="s">
        <v>225</v>
      </c>
      <c r="S73" t="s">
        <v>226</v>
      </c>
      <c r="T73" t="s">
        <v>35</v>
      </c>
      <c r="V73" t="s">
        <v>91</v>
      </c>
    </row>
    <row r="74" spans="1:22" x14ac:dyDescent="0.25">
      <c r="A74">
        <v>202620</v>
      </c>
      <c r="B74" t="s">
        <v>22</v>
      </c>
      <c r="C74" t="s">
        <v>23</v>
      </c>
      <c r="D74">
        <v>20456</v>
      </c>
      <c r="E74" t="s">
        <v>24</v>
      </c>
      <c r="F74">
        <v>2033</v>
      </c>
      <c r="G74" s="1" t="s">
        <v>26</v>
      </c>
      <c r="H74" s="1" t="s">
        <v>27</v>
      </c>
      <c r="I74" t="s">
        <v>28</v>
      </c>
      <c r="J74" t="s">
        <v>227</v>
      </c>
      <c r="K74" t="s">
        <v>38</v>
      </c>
      <c r="L74" t="s">
        <v>64</v>
      </c>
      <c r="M74" t="s">
        <v>32</v>
      </c>
      <c r="N74">
        <v>102</v>
      </c>
      <c r="O74" s="2">
        <v>48543</v>
      </c>
      <c r="P74" s="2">
        <v>46034</v>
      </c>
      <c r="Q74" s="2">
        <v>46148</v>
      </c>
      <c r="R74" t="s">
        <v>157</v>
      </c>
      <c r="S74" t="s">
        <v>228</v>
      </c>
      <c r="T74" t="s">
        <v>35</v>
      </c>
      <c r="V74" t="s">
        <v>36</v>
      </c>
    </row>
    <row r="75" spans="1:22" x14ac:dyDescent="0.25">
      <c r="A75">
        <v>202620</v>
      </c>
      <c r="B75" t="s">
        <v>22</v>
      </c>
      <c r="C75" t="s">
        <v>23</v>
      </c>
      <c r="D75">
        <v>20457</v>
      </c>
      <c r="E75" t="s">
        <v>24</v>
      </c>
      <c r="F75">
        <v>2043</v>
      </c>
      <c r="G75" s="1" t="s">
        <v>26</v>
      </c>
      <c r="H75" s="1" t="s">
        <v>27</v>
      </c>
      <c r="I75" t="s">
        <v>28</v>
      </c>
      <c r="J75" t="s">
        <v>229</v>
      </c>
      <c r="K75" t="s">
        <v>38</v>
      </c>
      <c r="L75" t="s">
        <v>39</v>
      </c>
      <c r="M75" t="s">
        <v>32</v>
      </c>
      <c r="N75">
        <v>102</v>
      </c>
      <c r="O75" s="2">
        <v>48238</v>
      </c>
      <c r="P75" s="2">
        <v>46034</v>
      </c>
      <c r="Q75" s="2">
        <v>46148</v>
      </c>
      <c r="R75" t="s">
        <v>157</v>
      </c>
      <c r="S75" t="s">
        <v>230</v>
      </c>
      <c r="T75" t="s">
        <v>35</v>
      </c>
      <c r="V75" t="s">
        <v>36</v>
      </c>
    </row>
    <row r="76" spans="1:22" x14ac:dyDescent="0.25">
      <c r="A76">
        <v>202620</v>
      </c>
      <c r="B76" t="s">
        <v>22</v>
      </c>
      <c r="C76" t="s">
        <v>23</v>
      </c>
      <c r="D76">
        <v>20458</v>
      </c>
      <c r="E76" t="s">
        <v>24</v>
      </c>
      <c r="F76">
        <v>2043</v>
      </c>
      <c r="G76" t="s">
        <v>47</v>
      </c>
      <c r="H76" s="1" t="s">
        <v>27</v>
      </c>
      <c r="I76" t="s">
        <v>28</v>
      </c>
      <c r="J76" t="s">
        <v>229</v>
      </c>
      <c r="K76" t="s">
        <v>48</v>
      </c>
      <c r="L76" t="s">
        <v>48</v>
      </c>
      <c r="M76" t="s">
        <v>49</v>
      </c>
      <c r="N76" t="s">
        <v>49</v>
      </c>
      <c r="O76" t="s">
        <v>231</v>
      </c>
      <c r="P76" s="2">
        <v>46034</v>
      </c>
      <c r="Q76" s="2">
        <v>46148</v>
      </c>
      <c r="R76" t="s">
        <v>157</v>
      </c>
      <c r="S76" t="s">
        <v>232</v>
      </c>
      <c r="T76" t="s">
        <v>35</v>
      </c>
      <c r="U76" t="s">
        <v>52</v>
      </c>
      <c r="V76" t="s">
        <v>53</v>
      </c>
    </row>
    <row r="77" spans="1:22" x14ac:dyDescent="0.25">
      <c r="A77">
        <v>202620</v>
      </c>
      <c r="B77" t="s">
        <v>22</v>
      </c>
      <c r="C77" t="s">
        <v>23</v>
      </c>
      <c r="D77">
        <v>20501</v>
      </c>
      <c r="E77" t="s">
        <v>24</v>
      </c>
      <c r="F77">
        <v>2223</v>
      </c>
      <c r="G77" s="1" t="s">
        <v>26</v>
      </c>
      <c r="H77" s="1" t="s">
        <v>27</v>
      </c>
      <c r="I77" t="s">
        <v>28</v>
      </c>
      <c r="J77" t="s">
        <v>233</v>
      </c>
      <c r="K77" t="s">
        <v>38</v>
      </c>
      <c r="L77" t="s">
        <v>151</v>
      </c>
      <c r="M77" t="s">
        <v>32</v>
      </c>
      <c r="N77">
        <v>103</v>
      </c>
      <c r="O77" s="2">
        <v>50039</v>
      </c>
      <c r="P77" s="2">
        <v>46034</v>
      </c>
      <c r="Q77" s="2">
        <v>46148</v>
      </c>
      <c r="R77" t="s">
        <v>216</v>
      </c>
      <c r="S77" t="s">
        <v>234</v>
      </c>
      <c r="T77" t="s">
        <v>35</v>
      </c>
      <c r="V77" t="s">
        <v>36</v>
      </c>
    </row>
    <row r="78" spans="1:22" x14ac:dyDescent="0.25">
      <c r="A78">
        <v>202620</v>
      </c>
      <c r="B78" t="s">
        <v>22</v>
      </c>
      <c r="C78" t="s">
        <v>23</v>
      </c>
      <c r="D78">
        <v>20502</v>
      </c>
      <c r="E78" t="s">
        <v>24</v>
      </c>
      <c r="F78">
        <v>2223</v>
      </c>
      <c r="G78" s="1" t="s">
        <v>37</v>
      </c>
      <c r="H78" s="1" t="s">
        <v>27</v>
      </c>
      <c r="I78" t="s">
        <v>28</v>
      </c>
      <c r="J78" t="s">
        <v>233</v>
      </c>
      <c r="K78" t="s">
        <v>30</v>
      </c>
      <c r="L78" t="s">
        <v>56</v>
      </c>
      <c r="M78" t="s">
        <v>32</v>
      </c>
      <c r="N78">
        <v>103</v>
      </c>
      <c r="O78" s="2">
        <v>49825</v>
      </c>
      <c r="P78" s="2">
        <v>46034</v>
      </c>
      <c r="Q78" s="2">
        <v>46148</v>
      </c>
      <c r="R78" t="s">
        <v>216</v>
      </c>
      <c r="S78" t="s">
        <v>235</v>
      </c>
      <c r="T78" t="s">
        <v>35</v>
      </c>
      <c r="V78" t="s">
        <v>36</v>
      </c>
    </row>
    <row r="79" spans="1:22" x14ac:dyDescent="0.25">
      <c r="A79">
        <v>202620</v>
      </c>
      <c r="B79" t="s">
        <v>22</v>
      </c>
      <c r="C79" t="s">
        <v>23</v>
      </c>
      <c r="D79">
        <v>20503</v>
      </c>
      <c r="E79" t="s">
        <v>24</v>
      </c>
      <c r="F79">
        <v>2223</v>
      </c>
      <c r="G79" s="1" t="s">
        <v>43</v>
      </c>
      <c r="H79" s="1" t="s">
        <v>27</v>
      </c>
      <c r="I79" t="s">
        <v>28</v>
      </c>
      <c r="J79" t="s">
        <v>233</v>
      </c>
      <c r="K79" t="s">
        <v>38</v>
      </c>
      <c r="L79" t="s">
        <v>64</v>
      </c>
      <c r="M79" t="s">
        <v>32</v>
      </c>
      <c r="N79">
        <v>103</v>
      </c>
      <c r="O79" t="s">
        <v>236</v>
      </c>
      <c r="P79" s="2">
        <v>46034</v>
      </c>
      <c r="Q79" s="2">
        <v>46148</v>
      </c>
      <c r="R79" t="s">
        <v>216</v>
      </c>
      <c r="S79" t="s">
        <v>237</v>
      </c>
      <c r="T79" t="s">
        <v>35</v>
      </c>
      <c r="V79" t="s">
        <v>36</v>
      </c>
    </row>
    <row r="80" spans="1:22" x14ac:dyDescent="0.25">
      <c r="A80">
        <v>202620</v>
      </c>
      <c r="B80" t="s">
        <v>22</v>
      </c>
      <c r="C80" t="s">
        <v>23</v>
      </c>
      <c r="D80">
        <v>20505</v>
      </c>
      <c r="E80" t="s">
        <v>24</v>
      </c>
      <c r="F80">
        <v>2223</v>
      </c>
      <c r="G80" t="s">
        <v>47</v>
      </c>
      <c r="H80" s="1" t="s">
        <v>27</v>
      </c>
      <c r="I80" t="s">
        <v>28</v>
      </c>
      <c r="J80" t="s">
        <v>233</v>
      </c>
      <c r="K80" t="s">
        <v>48</v>
      </c>
      <c r="L80" t="s">
        <v>48</v>
      </c>
      <c r="M80" t="s">
        <v>49</v>
      </c>
      <c r="N80" t="s">
        <v>49</v>
      </c>
      <c r="O80" t="s">
        <v>238</v>
      </c>
      <c r="P80" s="2">
        <v>46034</v>
      </c>
      <c r="Q80" s="2">
        <v>46148</v>
      </c>
      <c r="R80" t="s">
        <v>216</v>
      </c>
      <c r="S80" t="s">
        <v>239</v>
      </c>
      <c r="T80" t="s">
        <v>35</v>
      </c>
      <c r="U80" t="s">
        <v>52</v>
      </c>
      <c r="V80" t="s">
        <v>53</v>
      </c>
    </row>
    <row r="81" spans="1:22" x14ac:dyDescent="0.25">
      <c r="A81">
        <v>202620</v>
      </c>
      <c r="B81" t="s">
        <v>22</v>
      </c>
      <c r="C81" t="s">
        <v>23</v>
      </c>
      <c r="D81">
        <v>20528</v>
      </c>
      <c r="E81" t="s">
        <v>24</v>
      </c>
      <c r="F81">
        <v>2243</v>
      </c>
      <c r="G81" s="1" t="s">
        <v>26</v>
      </c>
      <c r="H81" s="1" t="s">
        <v>27</v>
      </c>
      <c r="I81" t="s">
        <v>28</v>
      </c>
      <c r="J81" t="s">
        <v>240</v>
      </c>
      <c r="K81" t="s">
        <v>38</v>
      </c>
      <c r="L81" t="s">
        <v>44</v>
      </c>
      <c r="M81" t="s">
        <v>32</v>
      </c>
      <c r="N81">
        <v>104</v>
      </c>
      <c r="O81" t="s">
        <v>241</v>
      </c>
      <c r="P81" s="2">
        <v>46034</v>
      </c>
      <c r="Q81" s="2">
        <v>46148</v>
      </c>
      <c r="R81" t="s">
        <v>242</v>
      </c>
      <c r="S81" t="s">
        <v>243</v>
      </c>
      <c r="T81" t="s">
        <v>35</v>
      </c>
      <c r="V81" t="s">
        <v>36</v>
      </c>
    </row>
    <row r="82" spans="1:22" x14ac:dyDescent="0.25">
      <c r="A82">
        <v>202620</v>
      </c>
      <c r="B82" t="s">
        <v>22</v>
      </c>
      <c r="C82" t="s">
        <v>23</v>
      </c>
      <c r="D82">
        <v>20529</v>
      </c>
      <c r="E82" t="s">
        <v>24</v>
      </c>
      <c r="F82">
        <v>2243</v>
      </c>
      <c r="G82" s="1" t="s">
        <v>37</v>
      </c>
      <c r="H82" s="1" t="s">
        <v>27</v>
      </c>
      <c r="I82" t="s">
        <v>28</v>
      </c>
      <c r="J82" t="s">
        <v>240</v>
      </c>
      <c r="K82" t="s">
        <v>30</v>
      </c>
      <c r="L82" t="s">
        <v>31</v>
      </c>
      <c r="M82" t="s">
        <v>40</v>
      </c>
      <c r="N82">
        <v>220</v>
      </c>
      <c r="O82" s="2">
        <v>47598</v>
      </c>
      <c r="P82" s="2">
        <v>46034</v>
      </c>
      <c r="Q82" s="2">
        <v>46148</v>
      </c>
      <c r="R82" t="s">
        <v>242</v>
      </c>
      <c r="S82" t="s">
        <v>244</v>
      </c>
      <c r="T82" t="s">
        <v>35</v>
      </c>
      <c r="V82" t="s">
        <v>36</v>
      </c>
    </row>
    <row r="83" spans="1:22" x14ac:dyDescent="0.25">
      <c r="A83">
        <v>202620</v>
      </c>
      <c r="B83" t="s">
        <v>22</v>
      </c>
      <c r="C83" t="s">
        <v>23</v>
      </c>
      <c r="D83">
        <v>20506</v>
      </c>
      <c r="E83" t="s">
        <v>24</v>
      </c>
      <c r="F83">
        <v>2703</v>
      </c>
      <c r="G83" s="1" t="s">
        <v>26</v>
      </c>
      <c r="H83" s="1" t="s">
        <v>27</v>
      </c>
      <c r="I83" t="s">
        <v>28</v>
      </c>
      <c r="J83" t="s">
        <v>245</v>
      </c>
      <c r="K83" t="s">
        <v>38</v>
      </c>
      <c r="L83" t="s">
        <v>64</v>
      </c>
      <c r="M83" t="s">
        <v>32</v>
      </c>
      <c r="N83">
        <v>101</v>
      </c>
      <c r="O83" s="2">
        <v>52016</v>
      </c>
      <c r="P83" s="2">
        <v>46034</v>
      </c>
      <c r="Q83" s="2">
        <v>46148</v>
      </c>
      <c r="R83" t="s">
        <v>246</v>
      </c>
      <c r="S83" t="s">
        <v>247</v>
      </c>
      <c r="T83" t="s">
        <v>35</v>
      </c>
      <c r="V83" t="s">
        <v>36</v>
      </c>
    </row>
    <row r="84" spans="1:22" x14ac:dyDescent="0.25">
      <c r="A84">
        <v>202620</v>
      </c>
      <c r="B84" t="s">
        <v>22</v>
      </c>
      <c r="C84" t="s">
        <v>23</v>
      </c>
      <c r="D84">
        <v>20520</v>
      </c>
      <c r="E84" t="s">
        <v>24</v>
      </c>
      <c r="F84">
        <v>2703</v>
      </c>
      <c r="G84" s="1" t="s">
        <v>37</v>
      </c>
      <c r="H84" s="1" t="s">
        <v>27</v>
      </c>
      <c r="I84" t="s">
        <v>28</v>
      </c>
      <c r="J84" t="s">
        <v>245</v>
      </c>
      <c r="K84" t="s">
        <v>30</v>
      </c>
      <c r="L84" t="s">
        <v>56</v>
      </c>
      <c r="M84" t="s">
        <v>72</v>
      </c>
      <c r="N84">
        <v>206</v>
      </c>
      <c r="O84">
        <f>-1 / 30 / 32</f>
        <v>-1.0416666666666667E-3</v>
      </c>
      <c r="P84" s="2">
        <v>46034</v>
      </c>
      <c r="Q84" s="2">
        <v>46148</v>
      </c>
      <c r="R84" t="s">
        <v>248</v>
      </c>
      <c r="S84" t="s">
        <v>249</v>
      </c>
      <c r="T84" t="s">
        <v>35</v>
      </c>
      <c r="V84" t="s">
        <v>36</v>
      </c>
    </row>
    <row r="85" spans="1:22" x14ac:dyDescent="0.25">
      <c r="A85">
        <v>202620</v>
      </c>
      <c r="B85" t="s">
        <v>22</v>
      </c>
      <c r="C85" t="s">
        <v>23</v>
      </c>
      <c r="D85">
        <v>20530</v>
      </c>
      <c r="E85" t="s">
        <v>24</v>
      </c>
      <c r="F85">
        <v>2703</v>
      </c>
      <c r="G85" t="s">
        <v>47</v>
      </c>
      <c r="H85" s="1" t="s">
        <v>27</v>
      </c>
      <c r="I85" t="s">
        <v>28</v>
      </c>
      <c r="J85" t="s">
        <v>245</v>
      </c>
      <c r="K85" t="s">
        <v>48</v>
      </c>
      <c r="L85" t="s">
        <v>48</v>
      </c>
      <c r="M85" t="s">
        <v>49</v>
      </c>
      <c r="N85" t="s">
        <v>49</v>
      </c>
      <c r="O85" t="s">
        <v>238</v>
      </c>
      <c r="P85" s="2">
        <v>46034</v>
      </c>
      <c r="Q85" s="2">
        <v>46148</v>
      </c>
      <c r="R85" t="s">
        <v>246</v>
      </c>
      <c r="S85" t="s">
        <v>250</v>
      </c>
      <c r="T85" t="s">
        <v>35</v>
      </c>
      <c r="U85" t="s">
        <v>52</v>
      </c>
      <c r="V85" t="s">
        <v>53</v>
      </c>
    </row>
    <row r="86" spans="1:22" x14ac:dyDescent="0.25">
      <c r="A86">
        <v>202620</v>
      </c>
      <c r="B86" t="s">
        <v>22</v>
      </c>
      <c r="C86" t="s">
        <v>23</v>
      </c>
      <c r="D86">
        <v>20508</v>
      </c>
      <c r="E86" t="s">
        <v>24</v>
      </c>
      <c r="F86">
        <v>2914</v>
      </c>
      <c r="G86" s="1" t="s">
        <v>26</v>
      </c>
      <c r="H86" s="1" t="s">
        <v>27</v>
      </c>
      <c r="I86" t="s">
        <v>28</v>
      </c>
      <c r="J86" t="s">
        <v>251</v>
      </c>
      <c r="K86" t="s">
        <v>38</v>
      </c>
      <c r="L86" t="s">
        <v>39</v>
      </c>
      <c r="M86" t="s">
        <v>32</v>
      </c>
      <c r="N86">
        <v>101</v>
      </c>
      <c r="O86" s="2">
        <v>51955</v>
      </c>
      <c r="P86" s="2">
        <v>46034</v>
      </c>
      <c r="Q86" s="2">
        <v>46148</v>
      </c>
      <c r="R86" t="s">
        <v>246</v>
      </c>
      <c r="S86" t="s">
        <v>252</v>
      </c>
      <c r="T86" t="s">
        <v>35</v>
      </c>
      <c r="V86" t="s">
        <v>36</v>
      </c>
    </row>
    <row r="87" spans="1:22" x14ac:dyDescent="0.25">
      <c r="A87">
        <v>202620</v>
      </c>
      <c r="B87" t="s">
        <v>22</v>
      </c>
      <c r="C87" t="s">
        <v>23</v>
      </c>
      <c r="D87">
        <v>20508</v>
      </c>
      <c r="E87" t="s">
        <v>24</v>
      </c>
      <c r="F87">
        <v>2914</v>
      </c>
      <c r="G87" s="1" t="s">
        <v>26</v>
      </c>
      <c r="H87" s="1" t="s">
        <v>27</v>
      </c>
      <c r="I87" t="s">
        <v>28</v>
      </c>
      <c r="J87" t="s">
        <v>251</v>
      </c>
      <c r="K87" t="s">
        <v>165</v>
      </c>
      <c r="L87" t="s">
        <v>31</v>
      </c>
      <c r="M87" t="s">
        <v>32</v>
      </c>
      <c r="N87">
        <v>101</v>
      </c>
      <c r="O87" s="2">
        <v>51955</v>
      </c>
      <c r="P87" s="2">
        <v>46034</v>
      </c>
      <c r="Q87" s="2">
        <v>46148</v>
      </c>
      <c r="R87" t="s">
        <v>246</v>
      </c>
      <c r="S87" t="s">
        <v>252</v>
      </c>
      <c r="T87" t="s">
        <v>35</v>
      </c>
      <c r="V87" t="s">
        <v>36</v>
      </c>
    </row>
    <row r="88" spans="1:22" x14ac:dyDescent="0.25">
      <c r="A88">
        <v>202620</v>
      </c>
      <c r="B88" t="s">
        <v>22</v>
      </c>
      <c r="C88" t="s">
        <v>23</v>
      </c>
      <c r="D88">
        <v>20511</v>
      </c>
      <c r="E88" t="s">
        <v>24</v>
      </c>
      <c r="F88">
        <v>2914</v>
      </c>
      <c r="G88" s="1" t="s">
        <v>37</v>
      </c>
      <c r="H88" s="1" t="s">
        <v>27</v>
      </c>
      <c r="I88" t="s">
        <v>28</v>
      </c>
      <c r="J88" t="s">
        <v>251</v>
      </c>
      <c r="K88" t="s">
        <v>165</v>
      </c>
      <c r="L88" t="s">
        <v>253</v>
      </c>
      <c r="M88" t="s">
        <v>32</v>
      </c>
      <c r="N88">
        <v>101</v>
      </c>
      <c r="O88" t="s">
        <v>254</v>
      </c>
      <c r="P88" s="2">
        <v>46034</v>
      </c>
      <c r="Q88" s="2">
        <v>46148</v>
      </c>
      <c r="R88" t="s">
        <v>246</v>
      </c>
      <c r="S88" t="s">
        <v>255</v>
      </c>
      <c r="T88" t="s">
        <v>35</v>
      </c>
      <c r="V88" t="s">
        <v>36</v>
      </c>
    </row>
    <row r="89" spans="1:22" x14ac:dyDescent="0.25">
      <c r="A89">
        <v>202620</v>
      </c>
      <c r="B89" t="s">
        <v>22</v>
      </c>
      <c r="C89" t="s">
        <v>23</v>
      </c>
      <c r="D89">
        <v>20511</v>
      </c>
      <c r="E89" t="s">
        <v>24</v>
      </c>
      <c r="F89">
        <v>2914</v>
      </c>
      <c r="G89" s="1" t="s">
        <v>37</v>
      </c>
      <c r="H89" s="1" t="s">
        <v>27</v>
      </c>
      <c r="I89" t="s">
        <v>28</v>
      </c>
      <c r="J89" t="s">
        <v>251</v>
      </c>
      <c r="K89" t="s">
        <v>38</v>
      </c>
      <c r="L89" t="s">
        <v>44</v>
      </c>
      <c r="M89" t="s">
        <v>32</v>
      </c>
      <c r="N89">
        <v>101</v>
      </c>
      <c r="O89" t="s">
        <v>254</v>
      </c>
      <c r="P89" s="2">
        <v>46034</v>
      </c>
      <c r="Q89" s="2">
        <v>46148</v>
      </c>
      <c r="R89" t="s">
        <v>246</v>
      </c>
      <c r="S89" t="s">
        <v>255</v>
      </c>
      <c r="T89" t="s">
        <v>35</v>
      </c>
      <c r="V89" t="s">
        <v>36</v>
      </c>
    </row>
    <row r="90" spans="1:22" x14ac:dyDescent="0.25">
      <c r="A90">
        <v>202620</v>
      </c>
      <c r="B90" t="s">
        <v>22</v>
      </c>
      <c r="C90" t="s">
        <v>23</v>
      </c>
      <c r="D90">
        <v>20513</v>
      </c>
      <c r="E90" t="s">
        <v>24</v>
      </c>
      <c r="F90">
        <v>2914</v>
      </c>
      <c r="G90" s="1" t="s">
        <v>43</v>
      </c>
      <c r="H90" s="1" t="s">
        <v>27</v>
      </c>
      <c r="I90" t="s">
        <v>160</v>
      </c>
      <c r="J90" t="s">
        <v>251</v>
      </c>
      <c r="K90" t="s">
        <v>38</v>
      </c>
      <c r="L90" t="s">
        <v>66</v>
      </c>
      <c r="M90" t="s">
        <v>32</v>
      </c>
      <c r="N90">
        <v>101</v>
      </c>
      <c r="O90" t="s">
        <v>256</v>
      </c>
      <c r="P90" s="2">
        <v>46034</v>
      </c>
      <c r="Q90" s="2">
        <v>46148</v>
      </c>
      <c r="R90" t="s">
        <v>162</v>
      </c>
      <c r="S90" t="s">
        <v>257</v>
      </c>
      <c r="T90" t="s">
        <v>35</v>
      </c>
      <c r="V90" t="s">
        <v>36</v>
      </c>
    </row>
    <row r="91" spans="1:22" x14ac:dyDescent="0.25">
      <c r="A91">
        <v>202620</v>
      </c>
      <c r="B91" t="s">
        <v>22</v>
      </c>
      <c r="C91" t="s">
        <v>23</v>
      </c>
      <c r="D91">
        <v>20513</v>
      </c>
      <c r="E91" t="s">
        <v>24</v>
      </c>
      <c r="F91">
        <v>2914</v>
      </c>
      <c r="G91" s="1" t="s">
        <v>43</v>
      </c>
      <c r="H91" s="1" t="s">
        <v>27</v>
      </c>
      <c r="I91" t="s">
        <v>160</v>
      </c>
      <c r="J91" t="s">
        <v>251</v>
      </c>
      <c r="K91" t="s">
        <v>165</v>
      </c>
      <c r="L91" t="s">
        <v>258</v>
      </c>
      <c r="M91" t="s">
        <v>32</v>
      </c>
      <c r="N91">
        <v>101</v>
      </c>
      <c r="O91" t="s">
        <v>256</v>
      </c>
      <c r="P91" s="2">
        <v>46034</v>
      </c>
      <c r="Q91" s="2">
        <v>46148</v>
      </c>
      <c r="R91" t="s">
        <v>162</v>
      </c>
      <c r="S91" t="s">
        <v>257</v>
      </c>
      <c r="T91" t="s">
        <v>35</v>
      </c>
      <c r="V91" t="s">
        <v>36</v>
      </c>
    </row>
    <row r="92" spans="1:22" x14ac:dyDescent="0.25">
      <c r="A92">
        <v>202620</v>
      </c>
      <c r="B92" t="s">
        <v>22</v>
      </c>
      <c r="C92" t="s">
        <v>23</v>
      </c>
      <c r="D92">
        <v>20524</v>
      </c>
      <c r="E92" t="s">
        <v>24</v>
      </c>
      <c r="F92">
        <v>2924</v>
      </c>
      <c r="G92" s="1" t="s">
        <v>26</v>
      </c>
      <c r="H92" s="1" t="s">
        <v>27</v>
      </c>
      <c r="I92" t="s">
        <v>28</v>
      </c>
      <c r="J92" t="s">
        <v>259</v>
      </c>
      <c r="K92" t="s">
        <v>38</v>
      </c>
      <c r="L92" t="s">
        <v>44</v>
      </c>
      <c r="M92" t="s">
        <v>32</v>
      </c>
      <c r="N92">
        <v>102</v>
      </c>
      <c r="O92" t="s">
        <v>260</v>
      </c>
      <c r="P92" s="2">
        <v>46034</v>
      </c>
      <c r="Q92" s="2">
        <v>46148</v>
      </c>
      <c r="R92" t="s">
        <v>261</v>
      </c>
      <c r="S92" t="s">
        <v>262</v>
      </c>
      <c r="T92" t="s">
        <v>35</v>
      </c>
      <c r="V92" t="s">
        <v>36</v>
      </c>
    </row>
    <row r="93" spans="1:22" x14ac:dyDescent="0.25">
      <c r="A93">
        <v>202620</v>
      </c>
      <c r="B93" t="s">
        <v>22</v>
      </c>
      <c r="C93" t="s">
        <v>23</v>
      </c>
      <c r="D93">
        <v>20524</v>
      </c>
      <c r="E93" t="s">
        <v>24</v>
      </c>
      <c r="F93">
        <v>2924</v>
      </c>
      <c r="G93" s="1" t="s">
        <v>26</v>
      </c>
      <c r="H93" s="1" t="s">
        <v>27</v>
      </c>
      <c r="I93" t="s">
        <v>28</v>
      </c>
      <c r="J93" t="s">
        <v>259</v>
      </c>
      <c r="K93" t="s">
        <v>165</v>
      </c>
      <c r="L93" t="s">
        <v>253</v>
      </c>
      <c r="M93" t="s">
        <v>32</v>
      </c>
      <c r="N93">
        <v>102</v>
      </c>
      <c r="O93" t="s">
        <v>260</v>
      </c>
      <c r="P93" s="2">
        <v>46034</v>
      </c>
      <c r="Q93" s="2">
        <v>46148</v>
      </c>
      <c r="R93" t="s">
        <v>261</v>
      </c>
      <c r="S93" t="s">
        <v>262</v>
      </c>
      <c r="T93" t="s">
        <v>35</v>
      </c>
      <c r="V93" t="s">
        <v>36</v>
      </c>
    </row>
    <row r="94" spans="1:22" x14ac:dyDescent="0.25">
      <c r="A94">
        <v>202620</v>
      </c>
      <c r="B94" t="s">
        <v>22</v>
      </c>
      <c r="C94" t="s">
        <v>23</v>
      </c>
      <c r="D94">
        <v>20521</v>
      </c>
      <c r="E94" t="s">
        <v>24</v>
      </c>
      <c r="F94">
        <v>2924</v>
      </c>
      <c r="G94" s="1" t="s">
        <v>37</v>
      </c>
      <c r="H94" s="1" t="s">
        <v>27</v>
      </c>
      <c r="I94" t="s">
        <v>28</v>
      </c>
      <c r="J94" t="s">
        <v>259</v>
      </c>
      <c r="K94" t="s">
        <v>38</v>
      </c>
      <c r="L94" t="s">
        <v>263</v>
      </c>
      <c r="M94" t="s">
        <v>72</v>
      </c>
      <c r="N94">
        <v>206</v>
      </c>
      <c r="O94">
        <f>-3 / 32 / 32</f>
        <v>-2.9296875E-3</v>
      </c>
      <c r="P94" s="2">
        <v>46034</v>
      </c>
      <c r="Q94" s="2">
        <v>46148</v>
      </c>
      <c r="R94" t="s">
        <v>248</v>
      </c>
      <c r="S94" t="s">
        <v>264</v>
      </c>
      <c r="T94" t="s">
        <v>35</v>
      </c>
      <c r="V94" t="s">
        <v>36</v>
      </c>
    </row>
    <row r="95" spans="1:22" x14ac:dyDescent="0.25">
      <c r="A95">
        <v>202620</v>
      </c>
      <c r="B95" t="s">
        <v>22</v>
      </c>
      <c r="C95" t="s">
        <v>23</v>
      </c>
      <c r="D95">
        <v>20521</v>
      </c>
      <c r="E95" t="s">
        <v>24</v>
      </c>
      <c r="F95">
        <v>2924</v>
      </c>
      <c r="G95" s="1" t="s">
        <v>37</v>
      </c>
      <c r="H95" s="1" t="s">
        <v>27</v>
      </c>
      <c r="I95" t="s">
        <v>28</v>
      </c>
      <c r="J95" t="s">
        <v>259</v>
      </c>
      <c r="K95" t="s">
        <v>218</v>
      </c>
      <c r="L95" t="s">
        <v>253</v>
      </c>
      <c r="M95" t="s">
        <v>72</v>
      </c>
      <c r="N95">
        <v>206</v>
      </c>
      <c r="O95">
        <f>-3 / 32 / 32</f>
        <v>-2.9296875E-3</v>
      </c>
      <c r="P95" s="2">
        <v>46034</v>
      </c>
      <c r="Q95" s="2">
        <v>46148</v>
      </c>
      <c r="R95" t="s">
        <v>248</v>
      </c>
      <c r="S95" t="s">
        <v>264</v>
      </c>
      <c r="T95" t="s">
        <v>35</v>
      </c>
      <c r="V95" t="s">
        <v>36</v>
      </c>
    </row>
    <row r="96" spans="1:22" x14ac:dyDescent="0.25">
      <c r="A96">
        <v>202620</v>
      </c>
      <c r="B96" t="s">
        <v>22</v>
      </c>
      <c r="C96" t="s">
        <v>23</v>
      </c>
      <c r="D96">
        <v>20522</v>
      </c>
      <c r="E96" t="s">
        <v>24</v>
      </c>
      <c r="F96">
        <v>2924</v>
      </c>
      <c r="G96" s="1" t="s">
        <v>43</v>
      </c>
      <c r="H96" s="1" t="s">
        <v>27</v>
      </c>
      <c r="I96" t="s">
        <v>28</v>
      </c>
      <c r="J96" t="s">
        <v>259</v>
      </c>
      <c r="K96" t="s">
        <v>38</v>
      </c>
      <c r="L96" t="s">
        <v>64</v>
      </c>
      <c r="M96" t="s">
        <v>72</v>
      </c>
      <c r="N96">
        <v>306</v>
      </c>
      <c r="O96" s="2">
        <v>51225</v>
      </c>
      <c r="P96" s="2">
        <v>46034</v>
      </c>
      <c r="Q96" s="2">
        <v>46148</v>
      </c>
      <c r="R96" t="s">
        <v>248</v>
      </c>
      <c r="S96" t="s">
        <v>265</v>
      </c>
      <c r="T96" t="s">
        <v>35</v>
      </c>
      <c r="V96" t="s">
        <v>36</v>
      </c>
    </row>
    <row r="97" spans="1:22" x14ac:dyDescent="0.25">
      <c r="A97">
        <v>202620</v>
      </c>
      <c r="B97" t="s">
        <v>22</v>
      </c>
      <c r="C97" t="s">
        <v>23</v>
      </c>
      <c r="D97">
        <v>20522</v>
      </c>
      <c r="E97" t="s">
        <v>24</v>
      </c>
      <c r="F97">
        <v>2924</v>
      </c>
      <c r="G97" s="1" t="s">
        <v>43</v>
      </c>
      <c r="H97" s="1" t="s">
        <v>27</v>
      </c>
      <c r="I97" t="s">
        <v>28</v>
      </c>
      <c r="J97" t="s">
        <v>259</v>
      </c>
      <c r="K97" t="s">
        <v>165</v>
      </c>
      <c r="L97" t="s">
        <v>31</v>
      </c>
      <c r="M97" t="s">
        <v>72</v>
      </c>
      <c r="N97">
        <v>206</v>
      </c>
      <c r="O97" s="2">
        <v>48303</v>
      </c>
      <c r="P97" s="2">
        <v>46034</v>
      </c>
      <c r="Q97" s="2">
        <v>46148</v>
      </c>
      <c r="R97" t="s">
        <v>248</v>
      </c>
      <c r="S97" t="s">
        <v>265</v>
      </c>
      <c r="T97" t="s">
        <v>35</v>
      </c>
      <c r="V97" t="s">
        <v>36</v>
      </c>
    </row>
    <row r="98" spans="1:22" x14ac:dyDescent="0.25">
      <c r="A98">
        <v>202620</v>
      </c>
      <c r="B98" t="s">
        <v>22</v>
      </c>
      <c r="C98" t="s">
        <v>23</v>
      </c>
      <c r="D98">
        <v>20525</v>
      </c>
      <c r="E98" t="s">
        <v>24</v>
      </c>
      <c r="F98">
        <v>2934</v>
      </c>
      <c r="G98" s="1" t="s">
        <v>26</v>
      </c>
      <c r="H98" s="1" t="s">
        <v>27</v>
      </c>
      <c r="I98" t="s">
        <v>28</v>
      </c>
      <c r="J98" t="s">
        <v>266</v>
      </c>
      <c r="K98" t="s">
        <v>218</v>
      </c>
      <c r="L98" t="s">
        <v>31</v>
      </c>
      <c r="M98" t="s">
        <v>72</v>
      </c>
      <c r="N98">
        <v>207</v>
      </c>
      <c r="O98" t="s">
        <v>267</v>
      </c>
      <c r="P98" s="2">
        <v>46034</v>
      </c>
      <c r="Q98" s="2">
        <v>46148</v>
      </c>
      <c r="R98" t="s">
        <v>261</v>
      </c>
      <c r="S98" t="s">
        <v>268</v>
      </c>
      <c r="T98" t="s">
        <v>35</v>
      </c>
      <c r="V98" t="s">
        <v>36</v>
      </c>
    </row>
    <row r="99" spans="1:22" x14ac:dyDescent="0.25">
      <c r="A99">
        <v>202620</v>
      </c>
      <c r="B99" t="s">
        <v>22</v>
      </c>
      <c r="C99" t="s">
        <v>23</v>
      </c>
      <c r="D99">
        <v>20525</v>
      </c>
      <c r="E99" t="s">
        <v>24</v>
      </c>
      <c r="F99">
        <v>2934</v>
      </c>
      <c r="G99" s="1" t="s">
        <v>26</v>
      </c>
      <c r="H99" s="1" t="s">
        <v>27</v>
      </c>
      <c r="I99" t="s">
        <v>28</v>
      </c>
      <c r="J99" t="s">
        <v>266</v>
      </c>
      <c r="K99" t="s">
        <v>38</v>
      </c>
      <c r="L99" t="s">
        <v>64</v>
      </c>
      <c r="M99" t="s">
        <v>72</v>
      </c>
      <c r="N99">
        <v>207</v>
      </c>
      <c r="O99" t="s">
        <v>267</v>
      </c>
      <c r="P99" s="2">
        <v>46034</v>
      </c>
      <c r="Q99" s="2">
        <v>46148</v>
      </c>
      <c r="R99" t="s">
        <v>261</v>
      </c>
      <c r="S99" t="s">
        <v>268</v>
      </c>
      <c r="T99" t="s">
        <v>35</v>
      </c>
      <c r="V99" t="s">
        <v>36</v>
      </c>
    </row>
    <row r="100" spans="1:22" x14ac:dyDescent="0.25">
      <c r="A100">
        <v>202620</v>
      </c>
      <c r="B100" t="s">
        <v>22</v>
      </c>
      <c r="C100" t="s">
        <v>23</v>
      </c>
      <c r="D100">
        <v>20526</v>
      </c>
      <c r="E100" t="s">
        <v>24</v>
      </c>
      <c r="F100">
        <v>2934</v>
      </c>
      <c r="G100" s="1" t="s">
        <v>37</v>
      </c>
      <c r="H100" s="1" t="s">
        <v>27</v>
      </c>
      <c r="I100" t="s">
        <v>28</v>
      </c>
      <c r="J100" t="s">
        <v>266</v>
      </c>
      <c r="K100" t="s">
        <v>38</v>
      </c>
      <c r="L100" t="s">
        <v>151</v>
      </c>
      <c r="M100" t="s">
        <v>32</v>
      </c>
      <c r="N100">
        <v>101</v>
      </c>
      <c r="O100">
        <f>-3 / 30 / 42</f>
        <v>-2.3809523809523812E-3</v>
      </c>
      <c r="P100" s="2">
        <v>46034</v>
      </c>
      <c r="Q100" s="2">
        <v>46148</v>
      </c>
      <c r="R100" t="s">
        <v>261</v>
      </c>
      <c r="S100" t="s">
        <v>269</v>
      </c>
      <c r="T100" t="s">
        <v>35</v>
      </c>
      <c r="V100" t="s">
        <v>36</v>
      </c>
    </row>
    <row r="101" spans="1:22" x14ac:dyDescent="0.25">
      <c r="A101">
        <v>202620</v>
      </c>
      <c r="B101" t="s">
        <v>22</v>
      </c>
      <c r="C101" t="s">
        <v>23</v>
      </c>
      <c r="D101">
        <v>20526</v>
      </c>
      <c r="E101" t="s">
        <v>24</v>
      </c>
      <c r="F101">
        <v>2934</v>
      </c>
      <c r="G101" s="1" t="s">
        <v>37</v>
      </c>
      <c r="H101" s="1" t="s">
        <v>27</v>
      </c>
      <c r="I101" t="s">
        <v>28</v>
      </c>
      <c r="J101" t="s">
        <v>266</v>
      </c>
      <c r="K101" t="s">
        <v>165</v>
      </c>
      <c r="L101" t="s">
        <v>56</v>
      </c>
      <c r="M101" t="s">
        <v>32</v>
      </c>
      <c r="N101">
        <v>101</v>
      </c>
      <c r="O101">
        <f>-3 / 30 / 42</f>
        <v>-2.3809523809523812E-3</v>
      </c>
      <c r="P101" s="2">
        <v>46034</v>
      </c>
      <c r="Q101" s="2">
        <v>46148</v>
      </c>
      <c r="R101" t="s">
        <v>261</v>
      </c>
      <c r="S101" t="s">
        <v>269</v>
      </c>
      <c r="T101" t="s">
        <v>35</v>
      </c>
      <c r="V101" t="s">
        <v>36</v>
      </c>
    </row>
    <row r="102" spans="1:22" x14ac:dyDescent="0.25">
      <c r="A102">
        <v>202620</v>
      </c>
      <c r="B102" t="s">
        <v>22</v>
      </c>
      <c r="C102" t="s">
        <v>23</v>
      </c>
      <c r="D102">
        <v>20459</v>
      </c>
      <c r="E102" t="s">
        <v>24</v>
      </c>
      <c r="F102">
        <v>3033</v>
      </c>
      <c r="G102" s="1" t="s">
        <v>26</v>
      </c>
      <c r="H102" s="1" t="s">
        <v>27</v>
      </c>
      <c r="I102" t="s">
        <v>28</v>
      </c>
      <c r="J102" t="s">
        <v>270</v>
      </c>
      <c r="K102" t="s">
        <v>30</v>
      </c>
      <c r="L102" t="s">
        <v>56</v>
      </c>
      <c r="M102" t="s">
        <v>32</v>
      </c>
      <c r="N102">
        <v>102</v>
      </c>
      <c r="O102" t="s">
        <v>271</v>
      </c>
      <c r="P102" s="2">
        <v>46034</v>
      </c>
      <c r="Q102" s="2">
        <v>46148</v>
      </c>
      <c r="R102" t="s">
        <v>157</v>
      </c>
      <c r="S102" t="s">
        <v>272</v>
      </c>
      <c r="T102" t="s">
        <v>35</v>
      </c>
      <c r="V102" t="s">
        <v>36</v>
      </c>
    </row>
    <row r="103" spans="1:22" x14ac:dyDescent="0.25">
      <c r="A103">
        <v>202620</v>
      </c>
      <c r="B103" t="s">
        <v>22</v>
      </c>
      <c r="C103" t="s">
        <v>23</v>
      </c>
      <c r="D103">
        <v>20460</v>
      </c>
      <c r="E103" t="s">
        <v>24</v>
      </c>
      <c r="F103">
        <v>3033</v>
      </c>
      <c r="G103" t="s">
        <v>273</v>
      </c>
      <c r="H103" s="1" t="s">
        <v>27</v>
      </c>
      <c r="I103" t="s">
        <v>160</v>
      </c>
      <c r="J103" t="s">
        <v>270</v>
      </c>
      <c r="K103" t="s">
        <v>48</v>
      </c>
      <c r="L103" t="s">
        <v>48</v>
      </c>
      <c r="M103" t="s">
        <v>49</v>
      </c>
      <c r="N103" t="s">
        <v>49</v>
      </c>
      <c r="O103" t="s">
        <v>274</v>
      </c>
      <c r="P103" s="2">
        <v>46034</v>
      </c>
      <c r="Q103" s="2">
        <v>46148</v>
      </c>
      <c r="R103" t="s">
        <v>162</v>
      </c>
      <c r="S103" t="s">
        <v>275</v>
      </c>
      <c r="T103" t="s">
        <v>35</v>
      </c>
      <c r="U103" t="s">
        <v>52</v>
      </c>
      <c r="V103" t="s">
        <v>53</v>
      </c>
    </row>
    <row r="104" spans="1:22" x14ac:dyDescent="0.25">
      <c r="A104">
        <v>202620</v>
      </c>
      <c r="B104" t="s">
        <v>22</v>
      </c>
      <c r="C104" t="s">
        <v>23</v>
      </c>
      <c r="D104">
        <v>20531</v>
      </c>
      <c r="E104" t="s">
        <v>24</v>
      </c>
      <c r="F104">
        <v>3123</v>
      </c>
      <c r="G104" s="1" t="s">
        <v>26</v>
      </c>
      <c r="H104" s="1" t="s">
        <v>27</v>
      </c>
      <c r="I104" t="s">
        <v>28</v>
      </c>
      <c r="J104" t="s">
        <v>276</v>
      </c>
      <c r="K104" t="s">
        <v>38</v>
      </c>
      <c r="L104" t="s">
        <v>66</v>
      </c>
      <c r="M104" t="s">
        <v>32</v>
      </c>
      <c r="N104">
        <v>102</v>
      </c>
      <c r="O104" t="s">
        <v>277</v>
      </c>
      <c r="P104" s="2">
        <v>46034</v>
      </c>
      <c r="Q104" s="2">
        <v>46148</v>
      </c>
      <c r="R104" t="s">
        <v>242</v>
      </c>
      <c r="S104" t="s">
        <v>278</v>
      </c>
      <c r="T104" t="s">
        <v>35</v>
      </c>
      <c r="V104" t="s">
        <v>36</v>
      </c>
    </row>
    <row r="105" spans="1:22" x14ac:dyDescent="0.25">
      <c r="A105">
        <v>202620</v>
      </c>
      <c r="B105" t="s">
        <v>22</v>
      </c>
      <c r="C105" t="s">
        <v>23</v>
      </c>
      <c r="D105">
        <v>20527</v>
      </c>
      <c r="E105" t="s">
        <v>24</v>
      </c>
      <c r="F105">
        <v>3203</v>
      </c>
      <c r="G105" s="1" t="s">
        <v>26</v>
      </c>
      <c r="H105" s="1" t="s">
        <v>27</v>
      </c>
      <c r="I105" t="s">
        <v>28</v>
      </c>
      <c r="J105" t="s">
        <v>279</v>
      </c>
      <c r="K105" t="s">
        <v>38</v>
      </c>
      <c r="L105" t="s">
        <v>59</v>
      </c>
      <c r="M105" t="s">
        <v>32</v>
      </c>
      <c r="N105">
        <v>268</v>
      </c>
      <c r="O105" t="s">
        <v>156</v>
      </c>
      <c r="P105" s="2">
        <v>46034</v>
      </c>
      <c r="Q105" s="2">
        <v>46148</v>
      </c>
      <c r="R105" t="s">
        <v>261</v>
      </c>
      <c r="S105" t="s">
        <v>280</v>
      </c>
      <c r="T105" t="s">
        <v>35</v>
      </c>
      <c r="V105" t="s">
        <v>36</v>
      </c>
    </row>
    <row r="106" spans="1:22" x14ac:dyDescent="0.25">
      <c r="A106">
        <v>202620</v>
      </c>
      <c r="B106" t="s">
        <v>22</v>
      </c>
      <c r="C106" t="s">
        <v>23</v>
      </c>
      <c r="D106">
        <v>21939</v>
      </c>
      <c r="E106" t="s">
        <v>24</v>
      </c>
      <c r="F106">
        <v>3203</v>
      </c>
      <c r="G106" t="s">
        <v>281</v>
      </c>
      <c r="H106" s="1" t="s">
        <v>27</v>
      </c>
      <c r="I106" t="s">
        <v>28</v>
      </c>
      <c r="J106" t="s">
        <v>282</v>
      </c>
      <c r="K106" t="s">
        <v>38</v>
      </c>
      <c r="L106" t="s">
        <v>59</v>
      </c>
      <c r="M106" t="s">
        <v>32</v>
      </c>
      <c r="N106">
        <v>268</v>
      </c>
      <c r="O106" t="e">
        <f>-2 / 0 / 36</f>
        <v>#DIV/0!</v>
      </c>
      <c r="P106" s="2">
        <v>46034</v>
      </c>
      <c r="Q106" s="2">
        <v>46148</v>
      </c>
      <c r="R106" t="s">
        <v>261</v>
      </c>
      <c r="S106" t="s">
        <v>283</v>
      </c>
      <c r="T106" t="s">
        <v>35</v>
      </c>
      <c r="V106" t="s">
        <v>36</v>
      </c>
    </row>
    <row r="107" spans="1:22" x14ac:dyDescent="0.25">
      <c r="A107">
        <v>202620</v>
      </c>
      <c r="B107" t="s">
        <v>22</v>
      </c>
      <c r="C107" t="s">
        <v>23</v>
      </c>
      <c r="D107">
        <v>20446</v>
      </c>
      <c r="E107" t="s">
        <v>24</v>
      </c>
      <c r="F107">
        <v>3243</v>
      </c>
      <c r="G107" s="1" t="s">
        <v>26</v>
      </c>
      <c r="H107" s="1" t="s">
        <v>27</v>
      </c>
      <c r="I107" t="s">
        <v>28</v>
      </c>
      <c r="J107" t="s">
        <v>284</v>
      </c>
      <c r="K107" t="s">
        <v>38</v>
      </c>
      <c r="L107" t="s">
        <v>64</v>
      </c>
      <c r="M107" t="s">
        <v>72</v>
      </c>
      <c r="N107">
        <v>206</v>
      </c>
      <c r="O107" s="2">
        <v>48334</v>
      </c>
      <c r="P107" s="2">
        <v>46034</v>
      </c>
      <c r="Q107" s="2">
        <v>46148</v>
      </c>
      <c r="R107" t="s">
        <v>285</v>
      </c>
      <c r="S107" t="s">
        <v>286</v>
      </c>
      <c r="T107" t="s">
        <v>35</v>
      </c>
      <c r="V107" t="s">
        <v>36</v>
      </c>
    </row>
    <row r="108" spans="1:22" x14ac:dyDescent="0.25">
      <c r="A108">
        <v>202620</v>
      </c>
      <c r="B108" t="s">
        <v>22</v>
      </c>
      <c r="C108" t="s">
        <v>23</v>
      </c>
      <c r="D108">
        <v>20523</v>
      </c>
      <c r="E108" t="s">
        <v>24</v>
      </c>
      <c r="F108">
        <v>3243</v>
      </c>
      <c r="G108" s="1" t="s">
        <v>37</v>
      </c>
      <c r="H108" s="1" t="s">
        <v>27</v>
      </c>
      <c r="I108" t="s">
        <v>28</v>
      </c>
      <c r="J108" t="s">
        <v>284</v>
      </c>
      <c r="K108" t="s">
        <v>38</v>
      </c>
      <c r="L108" t="s">
        <v>39</v>
      </c>
      <c r="M108" t="s">
        <v>72</v>
      </c>
      <c r="N108">
        <v>212</v>
      </c>
      <c r="O108">
        <f>-1 / 33 / 56</f>
        <v>-5.4112554112554113E-4</v>
      </c>
      <c r="P108" s="2">
        <v>46034</v>
      </c>
      <c r="Q108" s="2">
        <v>46148</v>
      </c>
      <c r="R108" t="s">
        <v>248</v>
      </c>
      <c r="S108" t="s">
        <v>287</v>
      </c>
      <c r="T108" t="s">
        <v>35</v>
      </c>
      <c r="V108" t="s">
        <v>36</v>
      </c>
    </row>
    <row r="109" spans="1:22" x14ac:dyDescent="0.25">
      <c r="A109">
        <v>202620</v>
      </c>
      <c r="B109" t="s">
        <v>22</v>
      </c>
      <c r="C109" t="s">
        <v>23</v>
      </c>
      <c r="D109">
        <v>20447</v>
      </c>
      <c r="E109" t="s">
        <v>24</v>
      </c>
      <c r="F109">
        <v>4003</v>
      </c>
      <c r="G109" s="1" t="s">
        <v>26</v>
      </c>
      <c r="H109" s="1" t="s">
        <v>27</v>
      </c>
      <c r="I109" t="s">
        <v>28</v>
      </c>
      <c r="J109" t="s">
        <v>288</v>
      </c>
      <c r="K109" t="s">
        <v>38</v>
      </c>
      <c r="L109" t="s">
        <v>39</v>
      </c>
      <c r="M109" t="s">
        <v>72</v>
      </c>
      <c r="N109">
        <v>206</v>
      </c>
      <c r="O109" s="2">
        <v>48303</v>
      </c>
      <c r="P109" s="2">
        <v>46034</v>
      </c>
      <c r="Q109" s="2">
        <v>46148</v>
      </c>
      <c r="R109" t="s">
        <v>285</v>
      </c>
      <c r="S109" t="s">
        <v>289</v>
      </c>
      <c r="T109" t="s">
        <v>35</v>
      </c>
      <c r="V109" t="s">
        <v>36</v>
      </c>
    </row>
    <row r="110" spans="1:22" x14ac:dyDescent="0.25">
      <c r="A110">
        <v>202620</v>
      </c>
      <c r="B110" t="s">
        <v>22</v>
      </c>
      <c r="C110" t="s">
        <v>23</v>
      </c>
      <c r="D110">
        <v>20448</v>
      </c>
      <c r="E110" t="s">
        <v>24</v>
      </c>
      <c r="F110">
        <v>4971</v>
      </c>
      <c r="G110" s="1" t="s">
        <v>26</v>
      </c>
      <c r="H110" s="1" t="s">
        <v>27</v>
      </c>
      <c r="I110" t="s">
        <v>28</v>
      </c>
      <c r="J110" t="s">
        <v>290</v>
      </c>
      <c r="K110" t="s">
        <v>218</v>
      </c>
      <c r="L110" t="s">
        <v>56</v>
      </c>
      <c r="M110" t="s">
        <v>32</v>
      </c>
      <c r="N110">
        <v>101</v>
      </c>
      <c r="O110" s="2">
        <v>51966</v>
      </c>
      <c r="P110" s="2">
        <v>46034</v>
      </c>
      <c r="Q110" s="2">
        <v>46148</v>
      </c>
      <c r="R110" t="s">
        <v>285</v>
      </c>
      <c r="S110" t="s">
        <v>291</v>
      </c>
      <c r="T110" t="s">
        <v>35</v>
      </c>
      <c r="V110" t="s">
        <v>36</v>
      </c>
    </row>
    <row r="111" spans="1:22" x14ac:dyDescent="0.25">
      <c r="A111">
        <v>202620</v>
      </c>
      <c r="B111" t="s">
        <v>22</v>
      </c>
      <c r="C111" t="s">
        <v>23</v>
      </c>
      <c r="D111">
        <v>21948</v>
      </c>
      <c r="E111" t="s">
        <v>24</v>
      </c>
      <c r="F111">
        <v>4993</v>
      </c>
      <c r="G111" s="1" t="s">
        <v>26</v>
      </c>
      <c r="H111" s="1" t="s">
        <v>27</v>
      </c>
      <c r="I111" t="s">
        <v>28</v>
      </c>
      <c r="J111" t="s">
        <v>292</v>
      </c>
      <c r="K111" t="s">
        <v>48</v>
      </c>
      <c r="L111" t="s">
        <v>48</v>
      </c>
      <c r="M111" t="s">
        <v>49</v>
      </c>
      <c r="N111" t="s">
        <v>49</v>
      </c>
      <c r="O111" t="e">
        <f>-2 / 0 / na</f>
        <v>#DIV/0!</v>
      </c>
      <c r="P111" s="2">
        <v>46034</v>
      </c>
      <c r="Q111" s="2">
        <v>46148</v>
      </c>
      <c r="R111" t="s">
        <v>248</v>
      </c>
      <c r="S111" t="s">
        <v>293</v>
      </c>
      <c r="T111" t="s">
        <v>35</v>
      </c>
      <c r="V111" t="s">
        <v>53</v>
      </c>
    </row>
    <row r="112" spans="1:22" x14ac:dyDescent="0.25">
      <c r="A112">
        <v>202620</v>
      </c>
      <c r="B112" t="s">
        <v>22</v>
      </c>
      <c r="C112" t="s">
        <v>294</v>
      </c>
      <c r="D112">
        <v>20536</v>
      </c>
      <c r="E112" t="s">
        <v>24</v>
      </c>
      <c r="F112">
        <v>5173</v>
      </c>
      <c r="G112" t="s">
        <v>47</v>
      </c>
      <c r="H112" s="1" t="s">
        <v>27</v>
      </c>
      <c r="I112" t="s">
        <v>28</v>
      </c>
      <c r="J112" t="s">
        <v>295</v>
      </c>
      <c r="K112" t="s">
        <v>48</v>
      </c>
      <c r="L112" t="s">
        <v>48</v>
      </c>
      <c r="M112" t="s">
        <v>49</v>
      </c>
      <c r="N112" t="s">
        <v>49</v>
      </c>
      <c r="O112" t="s">
        <v>296</v>
      </c>
      <c r="P112" s="2">
        <v>46034</v>
      </c>
      <c r="Q112" s="2">
        <v>46148</v>
      </c>
      <c r="R112" t="s">
        <v>297</v>
      </c>
      <c r="S112" t="s">
        <v>298</v>
      </c>
      <c r="T112" t="s">
        <v>35</v>
      </c>
      <c r="U112" t="s">
        <v>52</v>
      </c>
      <c r="V112" t="s">
        <v>53</v>
      </c>
    </row>
    <row r="113" spans="1:22" x14ac:dyDescent="0.25">
      <c r="A113">
        <v>202620</v>
      </c>
      <c r="B113" t="s">
        <v>22</v>
      </c>
      <c r="C113" t="s">
        <v>23</v>
      </c>
      <c r="D113">
        <v>20465</v>
      </c>
      <c r="E113" t="s">
        <v>299</v>
      </c>
      <c r="F113">
        <v>2163</v>
      </c>
      <c r="G113" s="1" t="s">
        <v>26</v>
      </c>
      <c r="H113" s="1" t="s">
        <v>27</v>
      </c>
      <c r="I113" t="s">
        <v>28</v>
      </c>
      <c r="J113" t="s">
        <v>300</v>
      </c>
      <c r="K113" t="s">
        <v>38</v>
      </c>
      <c r="L113" t="s">
        <v>64</v>
      </c>
      <c r="M113" t="s">
        <v>72</v>
      </c>
      <c r="N113">
        <v>221</v>
      </c>
      <c r="O113" s="2">
        <v>18293</v>
      </c>
      <c r="P113" s="2">
        <v>46034</v>
      </c>
      <c r="Q113" s="2">
        <v>46148</v>
      </c>
      <c r="R113" t="s">
        <v>50</v>
      </c>
      <c r="S113" t="s">
        <v>301</v>
      </c>
      <c r="T113" t="s">
        <v>35</v>
      </c>
      <c r="V113" t="s">
        <v>36</v>
      </c>
    </row>
    <row r="114" spans="1:22" x14ac:dyDescent="0.25">
      <c r="A114">
        <v>202620</v>
      </c>
      <c r="B114" t="s">
        <v>22</v>
      </c>
      <c r="C114" t="s">
        <v>23</v>
      </c>
      <c r="D114">
        <v>20490</v>
      </c>
      <c r="E114" t="s">
        <v>299</v>
      </c>
      <c r="F114">
        <v>2163</v>
      </c>
      <c r="G114" s="1" t="s">
        <v>37</v>
      </c>
      <c r="H114" s="1" t="s">
        <v>27</v>
      </c>
      <c r="I114" t="s">
        <v>28</v>
      </c>
      <c r="J114" t="s">
        <v>300</v>
      </c>
      <c r="K114" t="s">
        <v>38</v>
      </c>
      <c r="L114" t="s">
        <v>39</v>
      </c>
      <c r="M114" t="s">
        <v>32</v>
      </c>
      <c r="N114">
        <v>104</v>
      </c>
      <c r="O114" s="2">
        <v>49765</v>
      </c>
      <c r="P114" s="2">
        <v>46034</v>
      </c>
      <c r="Q114" s="2">
        <v>46148</v>
      </c>
      <c r="R114" t="s">
        <v>212</v>
      </c>
      <c r="S114" t="s">
        <v>302</v>
      </c>
      <c r="T114" t="s">
        <v>35</v>
      </c>
      <c r="V114" t="s">
        <v>36</v>
      </c>
    </row>
    <row r="115" spans="1:22" x14ac:dyDescent="0.25">
      <c r="A115">
        <v>202620</v>
      </c>
      <c r="B115" t="s">
        <v>22</v>
      </c>
      <c r="C115" t="s">
        <v>23</v>
      </c>
      <c r="D115">
        <v>20492</v>
      </c>
      <c r="E115" t="s">
        <v>299</v>
      </c>
      <c r="F115">
        <v>2163</v>
      </c>
      <c r="G115" s="1" t="s">
        <v>43</v>
      </c>
      <c r="H115" s="1" t="s">
        <v>27</v>
      </c>
      <c r="I115" t="s">
        <v>28</v>
      </c>
      <c r="J115" t="s">
        <v>300</v>
      </c>
      <c r="K115" t="s">
        <v>30</v>
      </c>
      <c r="L115" t="s">
        <v>253</v>
      </c>
      <c r="M115" t="s">
        <v>32</v>
      </c>
      <c r="N115">
        <v>104</v>
      </c>
      <c r="O115" t="s">
        <v>303</v>
      </c>
      <c r="P115" s="2">
        <v>46034</v>
      </c>
      <c r="Q115" s="2">
        <v>46148</v>
      </c>
      <c r="R115" t="s">
        <v>212</v>
      </c>
      <c r="S115" t="s">
        <v>304</v>
      </c>
      <c r="T115" t="s">
        <v>35</v>
      </c>
      <c r="V115" t="s">
        <v>36</v>
      </c>
    </row>
    <row r="116" spans="1:22" x14ac:dyDescent="0.25">
      <c r="A116">
        <v>202620</v>
      </c>
      <c r="B116" t="s">
        <v>22</v>
      </c>
      <c r="C116" t="s">
        <v>23</v>
      </c>
      <c r="D116">
        <v>21132</v>
      </c>
      <c r="E116" t="s">
        <v>299</v>
      </c>
      <c r="F116">
        <v>2163</v>
      </c>
      <c r="G116" t="s">
        <v>86</v>
      </c>
      <c r="H116" s="1" t="s">
        <v>27</v>
      </c>
      <c r="I116" t="s">
        <v>28</v>
      </c>
      <c r="J116" t="s">
        <v>300</v>
      </c>
      <c r="K116" t="s">
        <v>48</v>
      </c>
      <c r="L116" t="s">
        <v>48</v>
      </c>
      <c r="M116" t="s">
        <v>128</v>
      </c>
      <c r="N116" t="s">
        <v>129</v>
      </c>
      <c r="O116">
        <f>-1 / 22 / 99999</f>
        <v>-4.5455000004545502E-7</v>
      </c>
      <c r="P116" s="2">
        <v>46034</v>
      </c>
      <c r="Q116" s="2">
        <v>46148</v>
      </c>
      <c r="R116" t="s">
        <v>204</v>
      </c>
      <c r="S116" t="s">
        <v>305</v>
      </c>
      <c r="T116" t="s">
        <v>35</v>
      </c>
      <c r="V116" t="s">
        <v>91</v>
      </c>
    </row>
    <row r="117" spans="1:22" x14ac:dyDescent="0.25">
      <c r="A117">
        <v>202620</v>
      </c>
      <c r="B117" t="s">
        <v>22</v>
      </c>
      <c r="C117" t="s">
        <v>23</v>
      </c>
      <c r="D117">
        <v>21139</v>
      </c>
      <c r="E117" t="s">
        <v>299</v>
      </c>
      <c r="F117">
        <v>2163</v>
      </c>
      <c r="G117" t="s">
        <v>112</v>
      </c>
      <c r="H117" s="1" t="s">
        <v>27</v>
      </c>
      <c r="I117" t="s">
        <v>28</v>
      </c>
      <c r="J117" t="s">
        <v>300</v>
      </c>
      <c r="K117" t="s">
        <v>48</v>
      </c>
      <c r="L117" t="s">
        <v>48</v>
      </c>
      <c r="M117" t="s">
        <v>87</v>
      </c>
      <c r="N117" t="s">
        <v>88</v>
      </c>
      <c r="O117">
        <f>-1 / 38 / 999</f>
        <v>-2.6342131605289498E-5</v>
      </c>
      <c r="P117" s="2">
        <v>46034</v>
      </c>
      <c r="Q117" s="2">
        <v>46148</v>
      </c>
      <c r="R117" t="s">
        <v>89</v>
      </c>
      <c r="S117" t="s">
        <v>306</v>
      </c>
      <c r="T117" t="s">
        <v>35</v>
      </c>
      <c r="V117" t="s">
        <v>91</v>
      </c>
    </row>
    <row r="118" spans="1:22" x14ac:dyDescent="0.25">
      <c r="A118">
        <v>202620</v>
      </c>
      <c r="B118" t="s">
        <v>22</v>
      </c>
      <c r="C118" t="s">
        <v>23</v>
      </c>
      <c r="D118">
        <v>21893</v>
      </c>
      <c r="E118" t="s">
        <v>299</v>
      </c>
      <c r="F118">
        <v>2163</v>
      </c>
      <c r="G118" t="s">
        <v>118</v>
      </c>
      <c r="H118" s="1" t="s">
        <v>27</v>
      </c>
      <c r="I118" t="s">
        <v>28</v>
      </c>
      <c r="J118" t="s">
        <v>300</v>
      </c>
      <c r="K118" t="s">
        <v>48</v>
      </c>
      <c r="L118" t="s">
        <v>48</v>
      </c>
      <c r="M118" t="s">
        <v>128</v>
      </c>
      <c r="N118" t="s">
        <v>129</v>
      </c>
      <c r="O118" t="s">
        <v>307</v>
      </c>
      <c r="P118" s="2">
        <v>46034</v>
      </c>
      <c r="Q118" s="2">
        <v>46148</v>
      </c>
      <c r="R118" t="s">
        <v>204</v>
      </c>
      <c r="S118" t="s">
        <v>308</v>
      </c>
      <c r="T118" t="s">
        <v>35</v>
      </c>
      <c r="V118" t="s">
        <v>91</v>
      </c>
    </row>
    <row r="119" spans="1:22" x14ac:dyDescent="0.25">
      <c r="A119">
        <v>202620</v>
      </c>
      <c r="B119" t="s">
        <v>22</v>
      </c>
      <c r="C119" t="s">
        <v>23</v>
      </c>
      <c r="D119">
        <v>20493</v>
      </c>
      <c r="E119" t="s">
        <v>299</v>
      </c>
      <c r="F119">
        <v>2163</v>
      </c>
      <c r="G119" t="s">
        <v>47</v>
      </c>
      <c r="H119" s="1" t="s">
        <v>27</v>
      </c>
      <c r="I119" t="s">
        <v>28</v>
      </c>
      <c r="J119" t="s">
        <v>300</v>
      </c>
      <c r="K119" t="s">
        <v>48</v>
      </c>
      <c r="L119" t="s">
        <v>48</v>
      </c>
      <c r="M119" t="s">
        <v>49</v>
      </c>
      <c r="N119" t="s">
        <v>49</v>
      </c>
      <c r="O119" t="s">
        <v>309</v>
      </c>
      <c r="P119" s="2">
        <v>46034</v>
      </c>
      <c r="Q119" s="2">
        <v>46148</v>
      </c>
      <c r="R119" t="s">
        <v>212</v>
      </c>
      <c r="S119" t="s">
        <v>310</v>
      </c>
      <c r="T119" t="s">
        <v>35</v>
      </c>
      <c r="U119" t="s">
        <v>52</v>
      </c>
      <c r="V119" t="s">
        <v>53</v>
      </c>
    </row>
    <row r="120" spans="1:22" x14ac:dyDescent="0.25">
      <c r="A120">
        <v>202620</v>
      </c>
      <c r="B120" t="s">
        <v>22</v>
      </c>
      <c r="C120" t="s">
        <v>23</v>
      </c>
      <c r="D120">
        <v>20494</v>
      </c>
      <c r="E120" t="s">
        <v>299</v>
      </c>
      <c r="F120">
        <v>2163</v>
      </c>
      <c r="G120" t="s">
        <v>93</v>
      </c>
      <c r="H120" s="1" t="s">
        <v>27</v>
      </c>
      <c r="I120" t="s">
        <v>28</v>
      </c>
      <c r="J120" t="s">
        <v>300</v>
      </c>
      <c r="K120" t="s">
        <v>48</v>
      </c>
      <c r="L120" t="s">
        <v>48</v>
      </c>
      <c r="M120" t="s">
        <v>49</v>
      </c>
      <c r="N120" t="s">
        <v>49</v>
      </c>
      <c r="O120" t="s">
        <v>311</v>
      </c>
      <c r="P120" s="2">
        <v>46034</v>
      </c>
      <c r="Q120" s="2">
        <v>46148</v>
      </c>
      <c r="R120" t="s">
        <v>212</v>
      </c>
      <c r="S120" t="s">
        <v>312</v>
      </c>
      <c r="T120" t="s">
        <v>35</v>
      </c>
      <c r="U120" t="s">
        <v>52</v>
      </c>
      <c r="V120" t="s">
        <v>53</v>
      </c>
    </row>
    <row r="121" spans="1:22" x14ac:dyDescent="0.25">
      <c r="A121">
        <v>202620</v>
      </c>
      <c r="B121" t="s">
        <v>22</v>
      </c>
      <c r="C121" t="s">
        <v>23</v>
      </c>
      <c r="D121">
        <v>20449</v>
      </c>
      <c r="E121" t="s">
        <v>299</v>
      </c>
      <c r="F121">
        <v>3113</v>
      </c>
      <c r="G121" s="1" t="s">
        <v>26</v>
      </c>
      <c r="H121" s="1" t="s">
        <v>27</v>
      </c>
      <c r="I121" t="s">
        <v>28</v>
      </c>
      <c r="J121" t="s">
        <v>313</v>
      </c>
      <c r="K121" t="s">
        <v>38</v>
      </c>
      <c r="L121" t="s">
        <v>151</v>
      </c>
      <c r="M121" t="s">
        <v>72</v>
      </c>
      <c r="N121">
        <v>213</v>
      </c>
      <c r="O121" t="s">
        <v>314</v>
      </c>
      <c r="P121" s="2">
        <v>46034</v>
      </c>
      <c r="Q121" s="2">
        <v>46148</v>
      </c>
      <c r="R121" t="s">
        <v>285</v>
      </c>
      <c r="S121" t="s">
        <v>315</v>
      </c>
      <c r="T121" t="s">
        <v>35</v>
      </c>
      <c r="V121" t="s">
        <v>36</v>
      </c>
    </row>
    <row r="122" spans="1:22" x14ac:dyDescent="0.25">
      <c r="A122">
        <v>202620</v>
      </c>
      <c r="B122" t="s">
        <v>22</v>
      </c>
      <c r="C122" t="s">
        <v>23</v>
      </c>
      <c r="D122">
        <v>20532</v>
      </c>
      <c r="E122" t="s">
        <v>299</v>
      </c>
      <c r="F122">
        <v>3153</v>
      </c>
      <c r="G122" s="1" t="s">
        <v>26</v>
      </c>
      <c r="H122" s="1" t="s">
        <v>27</v>
      </c>
      <c r="I122" t="s">
        <v>28</v>
      </c>
      <c r="J122" t="s">
        <v>316</v>
      </c>
      <c r="K122" t="s">
        <v>38</v>
      </c>
      <c r="L122" t="s">
        <v>39</v>
      </c>
      <c r="M122" t="s">
        <v>72</v>
      </c>
      <c r="N122">
        <v>207</v>
      </c>
      <c r="O122">
        <f>-1 / 30 / 43</f>
        <v>-7.7519379844961239E-4</v>
      </c>
      <c r="P122" s="2">
        <v>46034</v>
      </c>
      <c r="Q122" s="2">
        <v>46148</v>
      </c>
      <c r="R122" t="s">
        <v>297</v>
      </c>
      <c r="S122" t="s">
        <v>317</v>
      </c>
      <c r="T122" t="s">
        <v>35</v>
      </c>
      <c r="V122" t="s">
        <v>36</v>
      </c>
    </row>
    <row r="123" spans="1:22" x14ac:dyDescent="0.25">
      <c r="A123">
        <v>202620</v>
      </c>
      <c r="B123" t="s">
        <v>22</v>
      </c>
      <c r="C123" t="s">
        <v>23</v>
      </c>
      <c r="D123">
        <v>20533</v>
      </c>
      <c r="E123" t="s">
        <v>299</v>
      </c>
      <c r="F123">
        <v>3153</v>
      </c>
      <c r="G123" s="1" t="s">
        <v>37</v>
      </c>
      <c r="H123" s="1" t="s">
        <v>27</v>
      </c>
      <c r="I123" t="s">
        <v>28</v>
      </c>
      <c r="J123" t="s">
        <v>316</v>
      </c>
      <c r="K123" t="s">
        <v>38</v>
      </c>
      <c r="L123" t="s">
        <v>151</v>
      </c>
      <c r="M123" t="s">
        <v>32</v>
      </c>
      <c r="N123">
        <v>102</v>
      </c>
      <c r="O123" s="2">
        <v>48364</v>
      </c>
      <c r="P123" s="2">
        <v>46034</v>
      </c>
      <c r="Q123" s="2">
        <v>46148</v>
      </c>
      <c r="R123" t="s">
        <v>297</v>
      </c>
      <c r="S123" t="s">
        <v>318</v>
      </c>
      <c r="T123" t="s">
        <v>35</v>
      </c>
      <c r="V123" t="s">
        <v>36</v>
      </c>
    </row>
    <row r="124" spans="1:22" x14ac:dyDescent="0.25">
      <c r="A124">
        <v>202620</v>
      </c>
      <c r="B124" t="s">
        <v>22</v>
      </c>
      <c r="C124" t="s">
        <v>23</v>
      </c>
      <c r="D124">
        <v>20534</v>
      </c>
      <c r="E124" t="s">
        <v>299</v>
      </c>
      <c r="F124">
        <v>3183</v>
      </c>
      <c r="G124" s="1" t="s">
        <v>26</v>
      </c>
      <c r="H124" s="1" t="s">
        <v>27</v>
      </c>
      <c r="I124" t="s">
        <v>28</v>
      </c>
      <c r="J124" t="s">
        <v>319</v>
      </c>
      <c r="K124" t="s">
        <v>38</v>
      </c>
      <c r="L124" t="s">
        <v>44</v>
      </c>
      <c r="M124" t="s">
        <v>72</v>
      </c>
      <c r="N124">
        <v>213</v>
      </c>
      <c r="O124" t="s">
        <v>320</v>
      </c>
      <c r="P124" s="2">
        <v>46034</v>
      </c>
      <c r="Q124" s="2">
        <v>46148</v>
      </c>
      <c r="R124" t="s">
        <v>297</v>
      </c>
      <c r="S124" t="s">
        <v>321</v>
      </c>
      <c r="T124" t="s">
        <v>35</v>
      </c>
      <c r="V124" t="s">
        <v>36</v>
      </c>
    </row>
    <row r="125" spans="1:22" x14ac:dyDescent="0.25">
      <c r="A125">
        <v>202620</v>
      </c>
      <c r="B125" t="s">
        <v>22</v>
      </c>
      <c r="C125" t="s">
        <v>23</v>
      </c>
      <c r="D125">
        <v>20535</v>
      </c>
      <c r="E125" t="s">
        <v>299</v>
      </c>
      <c r="F125">
        <v>4173</v>
      </c>
      <c r="G125" t="s">
        <v>47</v>
      </c>
      <c r="H125" s="1" t="s">
        <v>27</v>
      </c>
      <c r="I125" t="s">
        <v>28</v>
      </c>
      <c r="J125" t="s">
        <v>295</v>
      </c>
      <c r="K125" t="s">
        <v>48</v>
      </c>
      <c r="L125" t="s">
        <v>48</v>
      </c>
      <c r="M125" t="s">
        <v>49</v>
      </c>
      <c r="N125" t="s">
        <v>49</v>
      </c>
      <c r="O125" t="s">
        <v>322</v>
      </c>
      <c r="P125" s="2">
        <v>46034</v>
      </c>
      <c r="Q125" s="2">
        <v>46148</v>
      </c>
      <c r="R125" t="s">
        <v>297</v>
      </c>
      <c r="S125" t="s">
        <v>323</v>
      </c>
      <c r="T125" t="s">
        <v>35</v>
      </c>
      <c r="U125" t="s">
        <v>52</v>
      </c>
      <c r="V12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Schedule Report_20260820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Xinli Xiao</cp:lastModifiedBy>
  <dcterms:created xsi:type="dcterms:W3CDTF">2026-08-23T23:27:13Z</dcterms:created>
  <dcterms:modified xsi:type="dcterms:W3CDTF">2026-08-23T23:27:14Z</dcterms:modified>
</cp:coreProperties>
</file>