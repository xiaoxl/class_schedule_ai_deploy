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arkansastechu-my.sharepoint.com/personal/jyoung35_atu_edu/Documents/Desktop/2027/Program work/Scheduling/"/>
    </mc:Choice>
  </mc:AlternateContent>
  <xr:revisionPtr revIDLastSave="0" documentId="8_{D8956684-55A0-493D-A8CD-DAB1163478D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Updated Schedule" sheetId="1" r:id="rId1"/>
    <sheet name="Avoid Conflicts" sheetId="2" r:id="rId2"/>
    <sheet name="Jessica Young" sheetId="3" r:id="rId3"/>
    <sheet name="Amber Harrington" sheetId="4" r:id="rId4"/>
    <sheet name="Matt Hankins" sheetId="5" r:id="rId5"/>
    <sheet name="Hamed Shojaei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2" i="1" l="1"/>
</calcChain>
</file>

<file path=xl/sharedStrings.xml><?xml version="1.0" encoding="utf-8"?>
<sst xmlns="http://schemas.openxmlformats.org/spreadsheetml/2006/main" count="842" uniqueCount="215">
  <si>
    <t>Course Prefix</t>
  </si>
  <si>
    <t>Number</t>
  </si>
  <si>
    <t>Section Title</t>
  </si>
  <si>
    <t>Instructor</t>
  </si>
  <si>
    <t>Load Credit</t>
  </si>
  <si>
    <t>Section</t>
  </si>
  <si>
    <t>Days</t>
  </si>
  <si>
    <t>Start</t>
  </si>
  <si>
    <t>End</t>
  </si>
  <si>
    <t>Capacity</t>
  </si>
  <si>
    <t>Waitlist</t>
  </si>
  <si>
    <t>Building</t>
  </si>
  <si>
    <t>Room</t>
  </si>
  <si>
    <t>Notes</t>
  </si>
  <si>
    <t>PHYS</t>
  </si>
  <si>
    <t>2000</t>
  </si>
  <si>
    <t>PHYSICS LABORATORY I</t>
  </si>
  <si>
    <t>Young, Jessica P.</t>
  </si>
  <si>
    <t>001</t>
  </si>
  <si>
    <t>T</t>
  </si>
  <si>
    <t>1:00 PM</t>
  </si>
  <si>
    <t>3:20 PM</t>
  </si>
  <si>
    <t>McEver Science Building</t>
  </si>
  <si>
    <t>37</t>
  </si>
  <si>
    <t>Course</t>
  </si>
  <si>
    <t>Time</t>
  </si>
  <si>
    <t>Harrington, Amber D.</t>
  </si>
  <si>
    <t>002</t>
  </si>
  <si>
    <t>R</t>
  </si>
  <si>
    <t>11:00 AM</t>
  </si>
  <si>
    <t>1:20 PM</t>
  </si>
  <si>
    <t>TR</t>
  </si>
  <si>
    <t>003</t>
  </si>
  <si>
    <t>F</t>
  </si>
  <si>
    <t>2010</t>
  </si>
  <si>
    <t>PHYSICS LABORATORY II</t>
  </si>
  <si>
    <t>M</t>
  </si>
  <si>
    <t>2:00 PM</t>
  </si>
  <si>
    <t>4:20 PM</t>
  </si>
  <si>
    <t>126</t>
  </si>
  <si>
    <t>8:30 AM</t>
  </si>
  <si>
    <t>10:50 AM</t>
  </si>
  <si>
    <t>00</t>
  </si>
  <si>
    <t>Hankins, Matthew J.</t>
  </si>
  <si>
    <t>12:00 PM</t>
  </si>
  <si>
    <t>2:20 PM</t>
  </si>
  <si>
    <t>004</t>
  </si>
  <si>
    <t>2:30 PM</t>
  </si>
  <si>
    <t>4:50 PM</t>
  </si>
  <si>
    <t>2024</t>
  </si>
  <si>
    <t>ALGEBRA-BASED PHYSICS II</t>
  </si>
  <si>
    <t>Shojaei, Hamed</t>
  </si>
  <si>
    <t>MWF</t>
  </si>
  <si>
    <t>10:00 AM</t>
  </si>
  <si>
    <t>15</t>
  </si>
  <si>
    <t>11:50 AM</t>
  </si>
  <si>
    <t>2114</t>
  </si>
  <si>
    <t>CALCULUS-BASED PHYSICS I</t>
  </si>
  <si>
    <t>8:00 AM</t>
  </si>
  <si>
    <t>9:20 AM</t>
  </si>
  <si>
    <t>MW</t>
  </si>
  <si>
    <t>2124</t>
  </si>
  <si>
    <t>CALCULUS-BASED PHYSICS II</t>
  </si>
  <si>
    <t>9:00 AM</t>
  </si>
  <si>
    <t>9:50 AM</t>
  </si>
  <si>
    <t>103</t>
  </si>
  <si>
    <t>4003</t>
  </si>
  <si>
    <t>Thermodynamics</t>
  </si>
  <si>
    <t>4113</t>
  </si>
  <si>
    <t>Advanced Physics Lab</t>
  </si>
  <si>
    <t>9:30 AM</t>
  </si>
  <si>
    <t>38B</t>
  </si>
  <si>
    <t>PHSC</t>
  </si>
  <si>
    <t>1011</t>
  </si>
  <si>
    <t>ORIENT/PHYSICAL SCIENCE II</t>
  </si>
  <si>
    <t>12:50 PM</t>
  </si>
  <si>
    <t>1013</t>
  </si>
  <si>
    <t>INTRO PHYSICAL SCIENCE</t>
  </si>
  <si>
    <t>F01</t>
  </si>
  <si>
    <t>Brown Hall Student Srvcs Bldg.</t>
  </si>
  <si>
    <t>254</t>
  </si>
  <si>
    <t>TC1</t>
  </si>
  <si>
    <t>online</t>
  </si>
  <si>
    <t>1021</t>
  </si>
  <si>
    <t>PHYSICAL SCIENCE LAB</t>
  </si>
  <si>
    <t>2:50 PM</t>
  </si>
  <si>
    <t>124</t>
  </si>
  <si>
    <t>W</t>
  </si>
  <si>
    <t>T01</t>
  </si>
  <si>
    <t>1051</t>
  </si>
  <si>
    <t>OBSERVATION/ASTRONOMY LAB</t>
  </si>
  <si>
    <t>1053</t>
  </si>
  <si>
    <t>ASTRONOMY</t>
  </si>
  <si>
    <t>3053</t>
  </si>
  <si>
    <t>Subject</t>
  </si>
  <si>
    <t>Meeting Days</t>
  </si>
  <si>
    <t>Beginning Time</t>
  </si>
  <si>
    <t>Ending Time</t>
  </si>
  <si>
    <t>Avoid 1</t>
  </si>
  <si>
    <t>Avoid 2</t>
  </si>
  <si>
    <t>Avoid 3</t>
  </si>
  <si>
    <t>Avoid 4</t>
  </si>
  <si>
    <t>ELEG</t>
  </si>
  <si>
    <t>2103</t>
  </si>
  <si>
    <t>ELECTRIC CIRCUITS I</t>
  </si>
  <si>
    <t>2111</t>
  </si>
  <si>
    <t>ELECTRIC CIRCUITS LAB</t>
  </si>
  <si>
    <t>2113</t>
  </si>
  <si>
    <t>ELECTRIC CIRCUITS II</t>
  </si>
  <si>
    <t>1:50 PM</t>
  </si>
  <si>
    <t>3133</t>
  </si>
  <si>
    <t>MICRO-PROC SYST DESIGN</t>
  </si>
  <si>
    <t>12:20 PM</t>
  </si>
  <si>
    <t>2123</t>
  </si>
  <si>
    <t>3003</t>
  </si>
  <si>
    <t>SYSTEM MODELING &amp; ANALYSIS</t>
  </si>
  <si>
    <t>MCEG</t>
  </si>
  <si>
    <t>2033</t>
  </si>
  <si>
    <t>DYNAMICS</t>
  </si>
  <si>
    <t>2203</t>
  </si>
  <si>
    <t>COMPUTATIONAL METH/ENGR</t>
  </si>
  <si>
    <t>2013</t>
  </si>
  <si>
    <t>STATICS</t>
  </si>
  <si>
    <t>2023</t>
  </si>
  <si>
    <t>ENGINEERING MATERIALS</t>
  </si>
  <si>
    <t>3013</t>
  </si>
  <si>
    <t>MECHANICS OF MATERIALS</t>
  </si>
  <si>
    <t>8:50 AM</t>
  </si>
  <si>
    <t>MATH</t>
  </si>
  <si>
    <t>2914</t>
  </si>
  <si>
    <t>CALCULUS I</t>
  </si>
  <si>
    <t>2924</t>
  </si>
  <si>
    <t>CALCULUS II</t>
  </si>
  <si>
    <t>2934</t>
  </si>
  <si>
    <t>CALCULUS III</t>
  </si>
  <si>
    <t>3243</t>
  </si>
  <si>
    <t>DIFF EQUATIONS I</t>
  </si>
  <si>
    <t>LINEAR ALGEBRA I</t>
  </si>
  <si>
    <t>4123</t>
  </si>
  <si>
    <t>MATHEMATICAL MODELING</t>
  </si>
  <si>
    <t>12:09 AM</t>
  </si>
  <si>
    <t>Spring 2027 Weekly Teaching Schedule — Jessica Young</t>
  </si>
  <si>
    <t>Total Load Credit</t>
  </si>
  <si>
    <t>Timed Sections</t>
  </si>
  <si>
    <t>Monday</t>
  </si>
  <si>
    <t>Tuesday</t>
  </si>
  <si>
    <t>Wednesday</t>
  </si>
  <si>
    <t>Thursday</t>
  </si>
  <si>
    <t>Friday</t>
  </si>
  <si>
    <t>12:00 PM–12:50 PM
PHSC 1011-001
ORIENT/PHYSICAL SCIENCE II
Room 15</t>
  </si>
  <si>
    <t>8:00 AM–9:20 AM
PHYS 2114-001
CALCULUS-BASED PHYSICS I
Room 15</t>
  </si>
  <si>
    <t>1:00 PM–3:20 PM
PHYS 2000-003
PHYSICS LABORATORY I
Room 37</t>
  </si>
  <si>
    <t>2:00 PM–4:20 PM
PHYS 2010-001
PHYSICS LABORATORY II
Room 126</t>
  </si>
  <si>
    <t>9:30 AM–10:50 AM
PHYS 4113-001
Advanced Physics Lab
Room 38B</t>
  </si>
  <si>
    <t>1:00 PM–3:20 PM
PHYS 2000-001
PHYSICS LABORATORY I
Room 37</t>
  </si>
  <si>
    <t>Day</t>
  </si>
  <si>
    <t>Title</t>
  </si>
  <si>
    <t>12:00 PM–12:50 PM</t>
  </si>
  <si>
    <t>PHSC 1011</t>
  </si>
  <si>
    <t>2:00 PM–4:20 PM</t>
  </si>
  <si>
    <t>PHYS 2010</t>
  </si>
  <si>
    <t>8:00 AM–9:20 AM</t>
  </si>
  <si>
    <t>PHYS 2114</t>
  </si>
  <si>
    <t>9:30 AM–10:50 AM</t>
  </si>
  <si>
    <t>PHYS 4113</t>
  </si>
  <si>
    <t>1:00 PM–3:20 PM</t>
  </si>
  <si>
    <t>PHYS 2000</t>
  </si>
  <si>
    <t>Online / Asynchronous Sections</t>
  </si>
  <si>
    <t>Delivery</t>
  </si>
  <si>
    <t>None</t>
  </si>
  <si>
    <t>Spring 2027 Weekly Teaching Schedule — Amber Harrington</t>
  </si>
  <si>
    <t>10:00 AM–10:50 AM
PHSC 1013-F01
INTRO PHYSICAL SCIENCE
Room 254</t>
  </si>
  <si>
    <t>8:30 AM–10:50 AM
PHYS 2010-002
PHYSICS LABORATORY II
Room 126</t>
  </si>
  <si>
    <t>8:30 AM–10:50 AM
PHYS 2010-00
PHYSICS LABORATORY II
Room 126</t>
  </si>
  <si>
    <t>1:00 PM–2:50 PM
PHSC 1021-001
PHYSICAL SCIENCE LAB
Room 124</t>
  </si>
  <si>
    <t>1:00 PM–2:50 PM
PHSC 1021-002
PHYSICAL SCIENCE LAB
Room 124</t>
  </si>
  <si>
    <t>11:00 AM–1:20 PM
PHYS 2000-002
PHYSICS LABORATORY I
Room 37</t>
  </si>
  <si>
    <t>10:00 AM–10:50 AM</t>
  </si>
  <si>
    <t>PHSC 1013</t>
  </si>
  <si>
    <t>1:00 PM–2:50 PM</t>
  </si>
  <si>
    <t>PHSC 1021</t>
  </si>
  <si>
    <t>8:30 AM–10:50 AM</t>
  </si>
  <si>
    <t>11:00 AM–1:20 PM</t>
  </si>
  <si>
    <t>PHSC 1053</t>
  </si>
  <si>
    <t>PHSC 3053</t>
  </si>
  <si>
    <t>Spring 2027 Weekly Teaching Schedule — Matt Hankins</t>
  </si>
  <si>
    <t>9:00 AM–9:50 AM
PHYS 2124-001
CALCULUS-BASED PHYSICS II
Room 103</t>
  </si>
  <si>
    <t>12:00 PM–2:20 PM
PHYS 2010-003
PHYSICS LABORATORY II
Room 126</t>
  </si>
  <si>
    <t>10:00 AM–10:50 AM
PHYS 2124-002
CALCULUS-BASED PHYSICS II
Room 15</t>
  </si>
  <si>
    <t>2:30 PM–4:50 PM
PHYS 2010-004
PHYSICS LABORATORY II
Room 126</t>
  </si>
  <si>
    <t>2:00 PM–3:20 PM
PHYS 2114-002
CALCULUS-BASED PHYSICS I
Room 15</t>
  </si>
  <si>
    <t>9:00 AM–9:50 AM</t>
  </si>
  <si>
    <t>PHYS 2124</t>
  </si>
  <si>
    <t>2:00 PM–3:20 PM</t>
  </si>
  <si>
    <t>12:00 PM–2:20 PM</t>
  </si>
  <si>
    <t>2:30 PM–4:50 PM</t>
  </si>
  <si>
    <t>PHSC 1051</t>
  </si>
  <si>
    <t>Spring 2027 Weekly Teaching Schedule — Hamed Shojaei</t>
  </si>
  <si>
    <t>10:00 AM–10:50 AM
PHYS 2024-001
ALGEBRA-BASED PHYSICS II
Room 15</t>
  </si>
  <si>
    <t>8:00 AM–9:20 AM
PHYS 4003-001
Thermodynamics
Room 103</t>
  </si>
  <si>
    <t>11:00 AM–11:50 AM
PHYS 2024-002
ALGEBRA-BASED PHYSICS II
Room 15</t>
  </si>
  <si>
    <t>PHYS 2024</t>
  </si>
  <si>
    <t>11:00 AM–11:50 AM</t>
  </si>
  <si>
    <t>PHYS 4003</t>
  </si>
  <si>
    <t>STAT</t>
  </si>
  <si>
    <t>REGRESSION ANALYSIS</t>
  </si>
  <si>
    <t xml:space="preserve">MATH </t>
  </si>
  <si>
    <t>Heat Transfer</t>
  </si>
  <si>
    <t>H01</t>
  </si>
  <si>
    <t>Honors CALCULUS-BASED PHYSICS I</t>
  </si>
  <si>
    <t>005</t>
  </si>
  <si>
    <t>start with this closed?</t>
  </si>
  <si>
    <t>Honors Advanced Physics Lab</t>
  </si>
  <si>
    <t>Cross list the honors section and regular section (Honors Physics I has it's own course number now 2914)</t>
  </si>
  <si>
    <t>Honors Thermodynamics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</si>
</sst>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color rgb="FF143D32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0563F"/>
      </patternFill>
    </fill>
    <fill>
      <patternFill patternType="solid">
        <fgColor rgb="FFE8F1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3" fillId="3" borderId="0" xfId="0" applyNumberFormat="1" applyFont="1" applyFill="1" applyBorder="1"/>
    <xf numFmtId="0" fontId="0" fillId="0" borderId="0" xfId="0" applyNumberFormat="1" applyFont="1" applyFill="1" applyBorder="1" applyAlignment="1">
      <alignment vertical="top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3" borderId="0" xfId="0" applyNumberFormat="1" applyFont="1" applyFill="1" applyBorder="1"/>
    <xf numFmtId="20" fontId="0" fillId="0" borderId="0" xfId="0" applyNumberFormat="1"/>
    <xf numFmtId="0" fontId="0" fillId="0" borderId="0" xfId="0" applyAlignment="1">
      <alignment wrapText="1"/>
    </xf>
    <xf numFmtId="18" fontId="0" fillId="0" borderId="0" xfId="0" applyNumberFormat="1"/>
    <xf numFmtId="49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M16" sqref="M16"/>
    </sheetView>
  </sheetViews>
  <sheetFormatPr defaultRowHeight="14.25"/>
  <cols>
    <col min="1" max="1" width="12" customWidth="1"/>
    <col min="2" max="2" width="9" customWidth="1"/>
    <col min="3" max="3" width="30" customWidth="1"/>
    <col min="4" max="4" width="24" customWidth="1"/>
    <col min="5" max="5" width="11" customWidth="1"/>
    <col min="6" max="6" width="9" customWidth="1"/>
    <col min="7" max="7" width="8" customWidth="1"/>
    <col min="8" max="9" width="12" customWidth="1"/>
    <col min="10" max="11" width="10" customWidth="1"/>
    <col min="12" max="12" width="24" customWidth="1"/>
    <col min="13" max="13" width="10" customWidth="1"/>
    <col min="14" max="14" width="34" customWidth="1"/>
  </cols>
  <sheetData>
    <row r="1" spans="1:14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>
      <c r="A2" s="2" t="s">
        <v>14</v>
      </c>
      <c r="B2" s="2" t="s">
        <v>15</v>
      </c>
      <c r="C2" s="2" t="s">
        <v>16</v>
      </c>
      <c r="D2" s="2" t="s">
        <v>17</v>
      </c>
      <c r="E2" s="2">
        <v>1.875</v>
      </c>
      <c r="F2" s="2" t="s">
        <v>18</v>
      </c>
      <c r="G2" s="2" t="s">
        <v>19</v>
      </c>
      <c r="H2" s="2" t="s">
        <v>20</v>
      </c>
      <c r="I2" s="2" t="s">
        <v>21</v>
      </c>
      <c r="J2" s="2">
        <v>20</v>
      </c>
      <c r="K2" s="2">
        <v>4</v>
      </c>
      <c r="L2" s="2" t="s">
        <v>22</v>
      </c>
      <c r="M2" s="2" t="s">
        <v>23</v>
      </c>
      <c r="N2" s="2"/>
    </row>
    <row r="3" spans="1:14">
      <c r="A3" s="2" t="s">
        <v>14</v>
      </c>
      <c r="B3" s="2" t="s">
        <v>15</v>
      </c>
      <c r="C3" s="2" t="s">
        <v>16</v>
      </c>
      <c r="D3" s="2" t="s">
        <v>26</v>
      </c>
      <c r="E3" s="2">
        <v>1.875</v>
      </c>
      <c r="F3" s="2" t="s">
        <v>27</v>
      </c>
      <c r="G3" s="2" t="s">
        <v>28</v>
      </c>
      <c r="H3" s="2" t="s">
        <v>29</v>
      </c>
      <c r="I3" s="2" t="s">
        <v>30</v>
      </c>
      <c r="J3" s="2">
        <v>20</v>
      </c>
      <c r="K3" s="2">
        <v>4</v>
      </c>
      <c r="L3" s="2" t="s">
        <v>22</v>
      </c>
      <c r="M3" s="2" t="s">
        <v>23</v>
      </c>
      <c r="N3" s="2" t="s">
        <v>211</v>
      </c>
    </row>
    <row r="4" spans="1:14">
      <c r="A4" s="2" t="s">
        <v>14</v>
      </c>
      <c r="B4" s="2" t="s">
        <v>15</v>
      </c>
      <c r="C4" s="2" t="s">
        <v>16</v>
      </c>
      <c r="D4" s="2" t="s">
        <v>17</v>
      </c>
      <c r="E4" s="2">
        <v>1.875</v>
      </c>
      <c r="F4" s="2" t="s">
        <v>32</v>
      </c>
      <c r="G4" s="2" t="s">
        <v>33</v>
      </c>
      <c r="H4" s="2" t="s">
        <v>20</v>
      </c>
      <c r="I4" s="2" t="s">
        <v>21</v>
      </c>
      <c r="J4" s="2">
        <v>20</v>
      </c>
      <c r="K4" s="2">
        <v>4</v>
      </c>
      <c r="L4" s="2" t="s">
        <v>22</v>
      </c>
      <c r="M4" s="2" t="s">
        <v>23</v>
      </c>
      <c r="N4" s="2"/>
    </row>
    <row r="5" spans="1:14">
      <c r="A5" s="2" t="s">
        <v>14</v>
      </c>
      <c r="B5" s="2" t="s">
        <v>34</v>
      </c>
      <c r="C5" s="2" t="s">
        <v>35</v>
      </c>
      <c r="D5" s="2" t="s">
        <v>17</v>
      </c>
      <c r="E5" s="2">
        <v>1.875</v>
      </c>
      <c r="F5" s="2" t="s">
        <v>18</v>
      </c>
      <c r="G5" s="2" t="s">
        <v>36</v>
      </c>
      <c r="H5" s="2" t="s">
        <v>37</v>
      </c>
      <c r="I5" s="2" t="s">
        <v>38</v>
      </c>
      <c r="J5" s="2">
        <v>20</v>
      </c>
      <c r="K5" s="2">
        <v>4</v>
      </c>
      <c r="L5" s="2" t="s">
        <v>22</v>
      </c>
      <c r="M5" s="2" t="s">
        <v>39</v>
      </c>
      <c r="N5" s="2"/>
    </row>
    <row r="6" spans="1:14">
      <c r="A6" s="2" t="s">
        <v>14</v>
      </c>
      <c r="B6" s="2" t="s">
        <v>34</v>
      </c>
      <c r="C6" s="2" t="s">
        <v>35</v>
      </c>
      <c r="D6" s="2" t="s">
        <v>26</v>
      </c>
      <c r="E6" s="2">
        <v>1.875</v>
      </c>
      <c r="F6" s="2" t="s">
        <v>27</v>
      </c>
      <c r="G6" s="2" t="s">
        <v>19</v>
      </c>
      <c r="H6" s="2" t="s">
        <v>40</v>
      </c>
      <c r="I6" s="2" t="s">
        <v>41</v>
      </c>
      <c r="J6" s="2">
        <v>20</v>
      </c>
      <c r="K6" s="2">
        <v>4</v>
      </c>
      <c r="L6" s="2" t="s">
        <v>22</v>
      </c>
      <c r="M6" s="2" t="s">
        <v>39</v>
      </c>
      <c r="N6" s="2"/>
    </row>
    <row r="7" spans="1:14">
      <c r="A7" s="2" t="s">
        <v>14</v>
      </c>
      <c r="B7" s="2" t="s">
        <v>34</v>
      </c>
      <c r="C7" s="2" t="s">
        <v>35</v>
      </c>
      <c r="D7" s="2" t="s">
        <v>26</v>
      </c>
      <c r="E7" s="2">
        <v>1.875</v>
      </c>
      <c r="F7" s="10" t="s">
        <v>32</v>
      </c>
      <c r="G7" s="2" t="s">
        <v>28</v>
      </c>
      <c r="H7" s="2" t="s">
        <v>40</v>
      </c>
      <c r="I7" s="2" t="s">
        <v>41</v>
      </c>
      <c r="J7" s="2">
        <v>20</v>
      </c>
      <c r="K7" s="2">
        <v>4</v>
      </c>
      <c r="L7" s="2" t="s">
        <v>22</v>
      </c>
      <c r="M7" s="2" t="s">
        <v>39</v>
      </c>
      <c r="N7" s="2"/>
    </row>
    <row r="8" spans="1:14">
      <c r="A8" s="2" t="s">
        <v>14</v>
      </c>
      <c r="B8" s="2" t="s">
        <v>34</v>
      </c>
      <c r="C8" s="2" t="s">
        <v>35</v>
      </c>
      <c r="D8" s="2" t="s">
        <v>43</v>
      </c>
      <c r="E8" s="2">
        <v>1.875</v>
      </c>
      <c r="F8" s="10" t="s">
        <v>46</v>
      </c>
      <c r="G8" s="2" t="s">
        <v>28</v>
      </c>
      <c r="H8" s="2" t="s">
        <v>44</v>
      </c>
      <c r="I8" s="2" t="s">
        <v>45</v>
      </c>
      <c r="J8" s="2">
        <v>20</v>
      </c>
      <c r="K8" s="2">
        <v>4</v>
      </c>
      <c r="L8" s="2" t="s">
        <v>22</v>
      </c>
      <c r="M8" s="2" t="s">
        <v>39</v>
      </c>
      <c r="N8" s="2"/>
    </row>
    <row r="9" spans="1:14">
      <c r="A9" s="2" t="s">
        <v>14</v>
      </c>
      <c r="B9" s="2" t="s">
        <v>34</v>
      </c>
      <c r="C9" s="2" t="s">
        <v>35</v>
      </c>
      <c r="D9" s="2" t="s">
        <v>43</v>
      </c>
      <c r="E9" s="2">
        <v>1.875</v>
      </c>
      <c r="F9" s="10" t="s">
        <v>210</v>
      </c>
      <c r="G9" s="2" t="s">
        <v>28</v>
      </c>
      <c r="H9" s="2" t="s">
        <v>47</v>
      </c>
      <c r="I9" s="2" t="s">
        <v>48</v>
      </c>
      <c r="J9" s="2">
        <v>20</v>
      </c>
      <c r="K9" s="2">
        <v>4</v>
      </c>
      <c r="L9" s="2" t="s">
        <v>22</v>
      </c>
      <c r="M9" s="2" t="s">
        <v>39</v>
      </c>
      <c r="N9" s="2"/>
    </row>
    <row r="10" spans="1:14">
      <c r="A10" s="2" t="s">
        <v>14</v>
      </c>
      <c r="B10" s="2" t="s">
        <v>49</v>
      </c>
      <c r="C10" s="2" t="s">
        <v>50</v>
      </c>
      <c r="D10" s="2" t="s">
        <v>51</v>
      </c>
      <c r="E10" s="2">
        <v>3</v>
      </c>
      <c r="F10" s="2" t="s">
        <v>18</v>
      </c>
      <c r="G10" s="2" t="s">
        <v>52</v>
      </c>
      <c r="H10" s="2" t="s">
        <v>53</v>
      </c>
      <c r="I10" s="2" t="s">
        <v>41</v>
      </c>
      <c r="J10" s="2">
        <v>30</v>
      </c>
      <c r="K10" s="2">
        <v>5</v>
      </c>
      <c r="L10" s="2" t="s">
        <v>22</v>
      </c>
      <c r="M10" s="2" t="s">
        <v>54</v>
      </c>
      <c r="N10" s="2"/>
    </row>
    <row r="11" spans="1:14">
      <c r="A11" s="2" t="s">
        <v>14</v>
      </c>
      <c r="B11" s="2" t="s">
        <v>49</v>
      </c>
      <c r="C11" s="2" t="s">
        <v>50</v>
      </c>
      <c r="D11" s="2" t="s">
        <v>51</v>
      </c>
      <c r="E11" s="2">
        <v>3</v>
      </c>
      <c r="F11" s="2" t="s">
        <v>27</v>
      </c>
      <c r="G11" s="2" t="s">
        <v>52</v>
      </c>
      <c r="H11" s="2" t="s">
        <v>29</v>
      </c>
      <c r="I11" s="2" t="s">
        <v>55</v>
      </c>
      <c r="J11" s="2">
        <v>30</v>
      </c>
      <c r="K11" s="2">
        <v>5</v>
      </c>
      <c r="L11" s="2" t="s">
        <v>22</v>
      </c>
      <c r="M11" s="2" t="s">
        <v>54</v>
      </c>
      <c r="N11" s="2"/>
    </row>
    <row r="12" spans="1:14" ht="42.75">
      <c r="A12" s="2" t="s">
        <v>14</v>
      </c>
      <c r="B12" s="2">
        <v>2914</v>
      </c>
      <c r="C12" s="2" t="s">
        <v>209</v>
      </c>
      <c r="D12" s="2" t="s">
        <v>17</v>
      </c>
      <c r="E12" s="2">
        <v>0</v>
      </c>
      <c r="F12" s="2" t="s">
        <v>208</v>
      </c>
      <c r="G12" s="2" t="s">
        <v>31</v>
      </c>
      <c r="H12" s="2" t="s">
        <v>58</v>
      </c>
      <c r="I12" s="2" t="s">
        <v>59</v>
      </c>
      <c r="J12" s="2">
        <v>0</v>
      </c>
      <c r="K12" s="2">
        <v>5</v>
      </c>
      <c r="L12" s="2" t="s">
        <v>22</v>
      </c>
      <c r="M12" s="2" t="s">
        <v>54</v>
      </c>
      <c r="N12" s="2" t="s">
        <v>213</v>
      </c>
    </row>
    <row r="13" spans="1:14">
      <c r="A13" s="2" t="s">
        <v>14</v>
      </c>
      <c r="B13" s="2" t="s">
        <v>56</v>
      </c>
      <c r="C13" s="2" t="s">
        <v>57</v>
      </c>
      <c r="D13" s="2" t="s">
        <v>17</v>
      </c>
      <c r="E13" s="2">
        <v>3</v>
      </c>
      <c r="F13" s="10" t="s">
        <v>18</v>
      </c>
      <c r="G13" s="2" t="s">
        <v>31</v>
      </c>
      <c r="H13" s="2" t="s">
        <v>58</v>
      </c>
      <c r="I13" s="2" t="s">
        <v>59</v>
      </c>
      <c r="J13" s="2">
        <v>30</v>
      </c>
      <c r="K13" s="2">
        <v>5</v>
      </c>
      <c r="L13" s="2" t="s">
        <v>22</v>
      </c>
      <c r="M13" s="2" t="s">
        <v>54</v>
      </c>
      <c r="N13" s="2"/>
    </row>
    <row r="14" spans="1:14">
      <c r="A14" s="2" t="s">
        <v>14</v>
      </c>
      <c r="B14" s="2" t="s">
        <v>56</v>
      </c>
      <c r="C14" s="2" t="s">
        <v>57</v>
      </c>
      <c r="D14" s="2" t="s">
        <v>43</v>
      </c>
      <c r="E14" s="2">
        <v>3</v>
      </c>
      <c r="F14" s="2" t="s">
        <v>27</v>
      </c>
      <c r="G14" s="2" t="s">
        <v>60</v>
      </c>
      <c r="H14" s="2" t="s">
        <v>37</v>
      </c>
      <c r="I14" s="2" t="s">
        <v>21</v>
      </c>
      <c r="J14" s="2">
        <v>30</v>
      </c>
      <c r="K14" s="2">
        <v>5</v>
      </c>
      <c r="L14" s="2" t="s">
        <v>22</v>
      </c>
      <c r="M14" s="2" t="s">
        <v>54</v>
      </c>
      <c r="N14" s="2"/>
    </row>
    <row r="15" spans="1:14">
      <c r="A15" s="2" t="s">
        <v>14</v>
      </c>
      <c r="B15" s="2" t="s">
        <v>61</v>
      </c>
      <c r="C15" s="2" t="s">
        <v>62</v>
      </c>
      <c r="D15" s="2" t="s">
        <v>43</v>
      </c>
      <c r="E15" s="2">
        <v>3</v>
      </c>
      <c r="F15" s="2" t="s">
        <v>18</v>
      </c>
      <c r="G15" s="2" t="s">
        <v>52</v>
      </c>
      <c r="H15" s="2" t="s">
        <v>63</v>
      </c>
      <c r="I15" s="2" t="s">
        <v>64</v>
      </c>
      <c r="J15" s="2">
        <v>30</v>
      </c>
      <c r="K15" s="2">
        <v>5</v>
      </c>
      <c r="L15" s="2" t="s">
        <v>22</v>
      </c>
      <c r="M15" s="2" t="s">
        <v>65</v>
      </c>
      <c r="N15" s="2"/>
    </row>
    <row r="16" spans="1:14">
      <c r="A16" s="2" t="s">
        <v>14</v>
      </c>
      <c r="B16" s="2" t="s">
        <v>61</v>
      </c>
      <c r="C16" s="2" t="s">
        <v>62</v>
      </c>
      <c r="D16" s="2" t="s">
        <v>43</v>
      </c>
      <c r="E16" s="2">
        <v>3</v>
      </c>
      <c r="F16" s="2" t="s">
        <v>27</v>
      </c>
      <c r="G16" s="2" t="s">
        <v>52</v>
      </c>
      <c r="H16" s="2" t="s">
        <v>53</v>
      </c>
      <c r="I16" s="2" t="s">
        <v>41</v>
      </c>
      <c r="J16" s="2">
        <v>30</v>
      </c>
      <c r="K16" s="2">
        <v>5</v>
      </c>
      <c r="L16" s="2" t="s">
        <v>22</v>
      </c>
      <c r="M16" s="2">
        <v>103</v>
      </c>
      <c r="N16" s="2"/>
    </row>
    <row r="17" spans="1:14">
      <c r="A17" s="2" t="s">
        <v>14</v>
      </c>
      <c r="B17" s="2" t="s">
        <v>66</v>
      </c>
      <c r="C17" s="2" t="s">
        <v>67</v>
      </c>
      <c r="D17" s="2" t="s">
        <v>51</v>
      </c>
      <c r="E17" s="2">
        <v>3</v>
      </c>
      <c r="F17" s="2" t="s">
        <v>18</v>
      </c>
      <c r="G17" s="2" t="s">
        <v>31</v>
      </c>
      <c r="H17" s="2" t="s">
        <v>58</v>
      </c>
      <c r="I17" s="2" t="s">
        <v>59</v>
      </c>
      <c r="J17" s="2">
        <v>20</v>
      </c>
      <c r="K17" s="2"/>
      <c r="L17" s="2" t="s">
        <v>22</v>
      </c>
      <c r="M17" s="2" t="s">
        <v>65</v>
      </c>
      <c r="N17" s="2"/>
    </row>
    <row r="18" spans="1:14">
      <c r="A18" s="2" t="s">
        <v>14</v>
      </c>
      <c r="B18" s="2" t="s">
        <v>66</v>
      </c>
      <c r="C18" s="2" t="s">
        <v>214</v>
      </c>
      <c r="D18" s="2" t="s">
        <v>51</v>
      </c>
      <c r="E18" s="2">
        <v>3</v>
      </c>
      <c r="F18" s="2" t="s">
        <v>208</v>
      </c>
      <c r="G18" s="2" t="s">
        <v>31</v>
      </c>
      <c r="H18" s="2" t="s">
        <v>58</v>
      </c>
      <c r="I18" s="2" t="s">
        <v>59</v>
      </c>
      <c r="J18" s="2">
        <v>0</v>
      </c>
      <c r="K18" s="2"/>
      <c r="L18" s="2" t="s">
        <v>22</v>
      </c>
      <c r="M18" s="2" t="s">
        <v>65</v>
      </c>
      <c r="N18" s="2"/>
    </row>
    <row r="19" spans="1:14">
      <c r="A19" s="2" t="s">
        <v>14</v>
      </c>
      <c r="B19" s="2" t="s">
        <v>68</v>
      </c>
      <c r="C19" s="2" t="s">
        <v>69</v>
      </c>
      <c r="D19" s="2" t="s">
        <v>17</v>
      </c>
      <c r="E19" s="2">
        <v>3</v>
      </c>
      <c r="F19" s="2" t="s">
        <v>18</v>
      </c>
      <c r="G19" s="2" t="s">
        <v>31</v>
      </c>
      <c r="H19" s="2" t="s">
        <v>70</v>
      </c>
      <c r="I19" s="2" t="s">
        <v>41</v>
      </c>
      <c r="J19" s="2">
        <v>20</v>
      </c>
      <c r="K19" s="2"/>
      <c r="L19" s="2" t="s">
        <v>22</v>
      </c>
      <c r="M19" s="2" t="s">
        <v>71</v>
      </c>
      <c r="N19" s="2"/>
    </row>
    <row r="20" spans="1:14">
      <c r="A20" s="2" t="s">
        <v>14</v>
      </c>
      <c r="B20" s="2" t="s">
        <v>68</v>
      </c>
      <c r="C20" s="2" t="s">
        <v>212</v>
      </c>
      <c r="D20" s="2" t="s">
        <v>17</v>
      </c>
      <c r="E20" s="2">
        <v>0</v>
      </c>
      <c r="F20" s="2" t="s">
        <v>208</v>
      </c>
      <c r="G20" s="2" t="s">
        <v>31</v>
      </c>
      <c r="H20" s="2" t="s">
        <v>70</v>
      </c>
      <c r="I20" s="2" t="s">
        <v>41</v>
      </c>
      <c r="J20" s="2">
        <v>0</v>
      </c>
      <c r="K20" s="2"/>
      <c r="L20" s="2" t="s">
        <v>22</v>
      </c>
      <c r="M20" s="2" t="s">
        <v>71</v>
      </c>
      <c r="N20" s="2"/>
    </row>
    <row r="21" spans="1:14">
      <c r="A21" s="2" t="s">
        <v>72</v>
      </c>
      <c r="B21" s="2" t="s">
        <v>73</v>
      </c>
      <c r="C21" s="2" t="s">
        <v>74</v>
      </c>
      <c r="D21" s="2" t="s">
        <v>17</v>
      </c>
      <c r="E21" s="2">
        <v>1</v>
      </c>
      <c r="F21" s="2" t="s">
        <v>18</v>
      </c>
      <c r="G21" s="2" t="s">
        <v>36</v>
      </c>
      <c r="H21" s="2" t="s">
        <v>44</v>
      </c>
      <c r="I21" s="2" t="s">
        <v>75</v>
      </c>
      <c r="J21" s="2">
        <v>20</v>
      </c>
      <c r="K21" s="2"/>
      <c r="L21" s="2" t="s">
        <v>22</v>
      </c>
      <c r="M21" s="2" t="s">
        <v>54</v>
      </c>
      <c r="N21" s="2"/>
    </row>
    <row r="22" spans="1:14" ht="28.5">
      <c r="A22" s="2" t="s">
        <v>72</v>
      </c>
      <c r="B22" s="2" t="s">
        <v>76</v>
      </c>
      <c r="C22" s="2" t="s">
        <v>77</v>
      </c>
      <c r="D22" s="2" t="s">
        <v>26</v>
      </c>
      <c r="E22" s="2">
        <v>3</v>
      </c>
      <c r="F22" s="2" t="s">
        <v>78</v>
      </c>
      <c r="G22" s="2" t="s">
        <v>52</v>
      </c>
      <c r="H22" s="2" t="s">
        <v>53</v>
      </c>
      <c r="I22" s="2" t="s">
        <v>41</v>
      </c>
      <c r="J22" s="2">
        <v>30</v>
      </c>
      <c r="K22" s="2"/>
      <c r="L22" s="2" t="s">
        <v>79</v>
      </c>
      <c r="M22" s="2" t="s">
        <v>80</v>
      </c>
      <c r="N22" s="2"/>
    </row>
    <row r="23" spans="1:14">
      <c r="A23" s="2" t="s">
        <v>72</v>
      </c>
      <c r="B23" s="2" t="s">
        <v>76</v>
      </c>
      <c r="C23" s="2" t="s">
        <v>77</v>
      </c>
      <c r="D23" s="2" t="s">
        <v>26</v>
      </c>
      <c r="E23" s="2">
        <v>3</v>
      </c>
      <c r="F23" s="2" t="s">
        <v>81</v>
      </c>
      <c r="G23" s="2"/>
      <c r="H23" s="2"/>
      <c r="I23" s="2"/>
      <c r="J23" s="2">
        <v>30</v>
      </c>
      <c r="K23" s="2">
        <v>5</v>
      </c>
      <c r="L23" s="2" t="s">
        <v>82</v>
      </c>
      <c r="M23" s="2"/>
      <c r="N23" s="2"/>
    </row>
    <row r="24" spans="1:14">
      <c r="A24" s="2" t="s">
        <v>72</v>
      </c>
      <c r="B24" s="2" t="s">
        <v>83</v>
      </c>
      <c r="C24" s="2" t="s">
        <v>84</v>
      </c>
      <c r="D24" s="2" t="s">
        <v>26</v>
      </c>
      <c r="E24" s="2">
        <v>1.5</v>
      </c>
      <c r="F24" s="2" t="s">
        <v>18</v>
      </c>
      <c r="G24" s="2" t="s">
        <v>36</v>
      </c>
      <c r="H24" s="2" t="s">
        <v>20</v>
      </c>
      <c r="I24" s="2" t="s">
        <v>85</v>
      </c>
      <c r="J24" s="2">
        <v>20</v>
      </c>
      <c r="K24" s="2">
        <v>4</v>
      </c>
      <c r="L24" s="2" t="s">
        <v>22</v>
      </c>
      <c r="M24" s="2" t="s">
        <v>86</v>
      </c>
      <c r="N24" s="2"/>
    </row>
    <row r="25" spans="1:14">
      <c r="A25" s="2" t="s">
        <v>72</v>
      </c>
      <c r="B25" s="2" t="s">
        <v>83</v>
      </c>
      <c r="C25" s="2" t="s">
        <v>84</v>
      </c>
      <c r="D25" s="2" t="s">
        <v>26</v>
      </c>
      <c r="E25" s="2">
        <v>1.5</v>
      </c>
      <c r="F25" s="2" t="s">
        <v>27</v>
      </c>
      <c r="G25" s="2" t="s">
        <v>87</v>
      </c>
      <c r="H25" s="2" t="s">
        <v>20</v>
      </c>
      <c r="I25" s="2" t="s">
        <v>85</v>
      </c>
      <c r="J25" s="2">
        <v>20</v>
      </c>
      <c r="K25" s="2">
        <v>4</v>
      </c>
      <c r="L25" s="2" t="s">
        <v>22</v>
      </c>
      <c r="M25" s="2" t="s">
        <v>86</v>
      </c>
      <c r="N25" s="2"/>
    </row>
    <row r="26" spans="1:14">
      <c r="A26" s="2" t="s">
        <v>72</v>
      </c>
      <c r="B26" s="2" t="s">
        <v>83</v>
      </c>
      <c r="C26" s="2" t="s">
        <v>84</v>
      </c>
      <c r="D26" s="2" t="s">
        <v>26</v>
      </c>
      <c r="E26" s="2">
        <v>1.5</v>
      </c>
      <c r="F26" s="2" t="s">
        <v>88</v>
      </c>
      <c r="G26" s="2"/>
      <c r="H26" s="2"/>
      <c r="I26" s="2"/>
      <c r="J26" s="2">
        <v>30</v>
      </c>
      <c r="K26" s="2">
        <v>5</v>
      </c>
      <c r="L26" s="2" t="s">
        <v>82</v>
      </c>
      <c r="M26" s="2"/>
      <c r="N26" s="2"/>
    </row>
    <row r="27" spans="1:14" ht="28.5">
      <c r="A27" s="2" t="s">
        <v>72</v>
      </c>
      <c r="B27" s="2" t="s">
        <v>89</v>
      </c>
      <c r="C27" s="2" t="s">
        <v>90</v>
      </c>
      <c r="D27" s="2" t="s">
        <v>43</v>
      </c>
      <c r="E27" s="2">
        <v>1.5</v>
      </c>
      <c r="F27" s="2" t="s">
        <v>88</v>
      </c>
      <c r="G27" s="2"/>
      <c r="H27" s="2"/>
      <c r="I27" s="2"/>
      <c r="J27" s="2">
        <v>30</v>
      </c>
      <c r="K27" s="2">
        <v>5</v>
      </c>
      <c r="L27" s="2" t="s">
        <v>82</v>
      </c>
      <c r="M27" s="2"/>
      <c r="N27" s="2"/>
    </row>
    <row r="28" spans="1:14">
      <c r="A28" s="2" t="s">
        <v>72</v>
      </c>
      <c r="B28" s="2" t="s">
        <v>91</v>
      </c>
      <c r="C28" s="2" t="s">
        <v>92</v>
      </c>
      <c r="D28" s="2" t="s">
        <v>26</v>
      </c>
      <c r="E28" s="2">
        <v>3</v>
      </c>
      <c r="F28" s="2" t="s">
        <v>88</v>
      </c>
      <c r="G28" s="2"/>
      <c r="H28" s="2"/>
      <c r="I28" s="2"/>
      <c r="J28" s="2">
        <v>30</v>
      </c>
      <c r="K28" s="2">
        <v>4</v>
      </c>
      <c r="L28" s="2" t="s">
        <v>82</v>
      </c>
      <c r="M28" s="2"/>
      <c r="N28" s="2"/>
    </row>
    <row r="29" spans="1:14">
      <c r="A29" s="2" t="s">
        <v>72</v>
      </c>
      <c r="B29" s="2" t="s">
        <v>93</v>
      </c>
      <c r="C29" s="2" t="s">
        <v>92</v>
      </c>
      <c r="D29" s="2" t="s">
        <v>26</v>
      </c>
      <c r="E29" s="2">
        <v>0</v>
      </c>
      <c r="F29" s="2" t="s">
        <v>88</v>
      </c>
      <c r="G29" s="2"/>
      <c r="H29" s="2"/>
      <c r="I29" s="2"/>
      <c r="J29" s="2">
        <v>5</v>
      </c>
      <c r="K29" s="2"/>
      <c r="L29" s="2" t="s">
        <v>82</v>
      </c>
      <c r="M29" s="2"/>
      <c r="N29" s="2"/>
    </row>
    <row r="32" spans="1:14">
      <c r="F32">
        <f>1.875+1.875+1.875+3+3+4.5+3</f>
        <v>19.125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5"/>
  <sheetViews>
    <sheetView workbookViewId="0">
      <selection activeCell="P31" sqref="P31"/>
    </sheetView>
  </sheetViews>
  <sheetFormatPr defaultRowHeight="14.25"/>
  <cols>
    <col min="1" max="1" width="10" customWidth="1"/>
    <col min="2" max="2" width="9" customWidth="1"/>
    <col min="3" max="3" width="30" customWidth="1"/>
    <col min="4" max="6" width="12" customWidth="1"/>
    <col min="7" max="10" width="10" customWidth="1"/>
  </cols>
  <sheetData>
    <row r="1" spans="1:10" ht="30">
      <c r="A1" s="1" t="s">
        <v>94</v>
      </c>
      <c r="B1" s="1" t="s">
        <v>1</v>
      </c>
      <c r="C1" s="1" t="s">
        <v>2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</row>
    <row r="2" spans="1:10">
      <c r="A2" t="s">
        <v>102</v>
      </c>
      <c r="B2" t="s">
        <v>103</v>
      </c>
      <c r="C2" t="s">
        <v>104</v>
      </c>
      <c r="D2" t="s">
        <v>52</v>
      </c>
      <c r="E2" t="s">
        <v>44</v>
      </c>
      <c r="F2" t="s">
        <v>75</v>
      </c>
      <c r="G2" t="s">
        <v>56</v>
      </c>
      <c r="H2" t="s">
        <v>61</v>
      </c>
    </row>
    <row r="3" spans="1:10">
      <c r="A3" t="s">
        <v>102</v>
      </c>
      <c r="B3" t="s">
        <v>105</v>
      </c>
      <c r="C3" t="s">
        <v>106</v>
      </c>
      <c r="D3" t="s">
        <v>36</v>
      </c>
      <c r="E3" s="9">
        <v>0.58333333333333337</v>
      </c>
      <c r="F3" s="9">
        <v>0.68055555555555558</v>
      </c>
      <c r="H3" t="s">
        <v>61</v>
      </c>
      <c r="I3" t="s">
        <v>68</v>
      </c>
      <c r="J3" t="s">
        <v>66</v>
      </c>
    </row>
    <row r="4" spans="1:10">
      <c r="A4" t="s">
        <v>102</v>
      </c>
      <c r="B4" t="s">
        <v>107</v>
      </c>
      <c r="C4" t="s">
        <v>108</v>
      </c>
      <c r="D4" t="s">
        <v>52</v>
      </c>
      <c r="E4" t="s">
        <v>20</v>
      </c>
      <c r="F4" t="s">
        <v>109</v>
      </c>
      <c r="H4" t="s">
        <v>61</v>
      </c>
      <c r="I4" t="s">
        <v>68</v>
      </c>
      <c r="J4" t="s">
        <v>66</v>
      </c>
    </row>
    <row r="5" spans="1:10">
      <c r="A5" t="s">
        <v>102</v>
      </c>
      <c r="B5" t="s">
        <v>110</v>
      </c>
      <c r="C5" t="s">
        <v>111</v>
      </c>
      <c r="D5" t="s">
        <v>31</v>
      </c>
      <c r="E5" t="s">
        <v>29</v>
      </c>
      <c r="F5" t="s">
        <v>112</v>
      </c>
      <c r="G5" t="s">
        <v>56</v>
      </c>
      <c r="H5" t="s">
        <v>113</v>
      </c>
      <c r="I5" t="s">
        <v>68</v>
      </c>
    </row>
    <row r="6" spans="1:10">
      <c r="A6" t="s">
        <v>116</v>
      </c>
      <c r="B6">
        <v>4443</v>
      </c>
      <c r="C6" t="s">
        <v>207</v>
      </c>
      <c r="D6" t="s">
        <v>31</v>
      </c>
      <c r="E6">
        <v>11</v>
      </c>
      <c r="F6" s="7">
        <v>0.51388888888888884</v>
      </c>
      <c r="I6">
        <v>4113</v>
      </c>
      <c r="J6">
        <v>4003</v>
      </c>
    </row>
    <row r="7" spans="1:10">
      <c r="A7" t="s">
        <v>102</v>
      </c>
      <c r="B7" t="s">
        <v>114</v>
      </c>
      <c r="C7" t="s">
        <v>115</v>
      </c>
      <c r="D7" t="s">
        <v>31</v>
      </c>
      <c r="E7" t="s">
        <v>70</v>
      </c>
      <c r="F7" t="s">
        <v>41</v>
      </c>
      <c r="I7" t="s">
        <v>68</v>
      </c>
      <c r="J7" t="s">
        <v>66</v>
      </c>
    </row>
    <row r="8" spans="1:10">
      <c r="A8" t="s">
        <v>116</v>
      </c>
      <c r="B8" t="s">
        <v>117</v>
      </c>
      <c r="C8" t="s">
        <v>118</v>
      </c>
      <c r="D8" t="s">
        <v>52</v>
      </c>
      <c r="E8" s="7">
        <v>4.1666666666666664E-2</v>
      </c>
      <c r="F8" s="7">
        <v>7.6388888888888895E-2</v>
      </c>
      <c r="I8" t="s">
        <v>68</v>
      </c>
      <c r="J8" t="s">
        <v>66</v>
      </c>
    </row>
    <row r="9" spans="1:10">
      <c r="A9" t="s">
        <v>116</v>
      </c>
      <c r="B9" t="s">
        <v>119</v>
      </c>
      <c r="C9" t="s">
        <v>120</v>
      </c>
      <c r="D9" t="s">
        <v>31</v>
      </c>
      <c r="E9" t="s">
        <v>20</v>
      </c>
      <c r="F9" t="s">
        <v>45</v>
      </c>
      <c r="H9" t="s">
        <v>56</v>
      </c>
    </row>
    <row r="10" spans="1:10">
      <c r="A10" t="s">
        <v>116</v>
      </c>
      <c r="B10" t="s">
        <v>121</v>
      </c>
      <c r="C10" t="s">
        <v>122</v>
      </c>
      <c r="D10" t="s">
        <v>52</v>
      </c>
      <c r="E10" t="s">
        <v>20</v>
      </c>
      <c r="F10" t="s">
        <v>109</v>
      </c>
      <c r="H10" t="s">
        <v>61</v>
      </c>
    </row>
    <row r="11" spans="1:10">
      <c r="A11" t="s">
        <v>116</v>
      </c>
      <c r="B11" t="s">
        <v>123</v>
      </c>
      <c r="C11" t="s">
        <v>124</v>
      </c>
      <c r="D11" t="s">
        <v>31</v>
      </c>
      <c r="E11" s="9">
        <v>0.39583333333333331</v>
      </c>
      <c r="F11" s="9">
        <v>0.4513888888888889</v>
      </c>
      <c r="H11" t="s">
        <v>61</v>
      </c>
    </row>
    <row r="12" spans="1:10">
      <c r="A12" t="s">
        <v>116</v>
      </c>
      <c r="B12" t="s">
        <v>125</v>
      </c>
      <c r="C12" t="s">
        <v>126</v>
      </c>
      <c r="D12" t="s">
        <v>52</v>
      </c>
      <c r="E12" t="s">
        <v>58</v>
      </c>
      <c r="F12" t="s">
        <v>127</v>
      </c>
      <c r="I12" t="s">
        <v>68</v>
      </c>
      <c r="J12" t="s">
        <v>66</v>
      </c>
    </row>
    <row r="13" spans="1:10">
      <c r="A13" t="s">
        <v>128</v>
      </c>
      <c r="B13" t="s">
        <v>129</v>
      </c>
      <c r="C13" t="s">
        <v>130</v>
      </c>
      <c r="D13" t="s">
        <v>52</v>
      </c>
      <c r="E13" t="s">
        <v>63</v>
      </c>
      <c r="F13" t="s">
        <v>64</v>
      </c>
      <c r="G13" t="s">
        <v>56</v>
      </c>
      <c r="H13" t="s">
        <v>61</v>
      </c>
    </row>
    <row r="14" spans="1:10">
      <c r="A14" t="s">
        <v>128</v>
      </c>
      <c r="B14" t="s">
        <v>129</v>
      </c>
      <c r="C14" t="s">
        <v>130</v>
      </c>
      <c r="D14" t="s">
        <v>28</v>
      </c>
      <c r="E14" t="s">
        <v>70</v>
      </c>
      <c r="F14" t="s">
        <v>41</v>
      </c>
      <c r="G14" t="s">
        <v>56</v>
      </c>
      <c r="H14" t="s">
        <v>61</v>
      </c>
    </row>
    <row r="15" spans="1:10">
      <c r="A15" t="s">
        <v>128</v>
      </c>
      <c r="B15" t="s">
        <v>129</v>
      </c>
      <c r="C15" t="s">
        <v>130</v>
      </c>
      <c r="D15" t="s">
        <v>52</v>
      </c>
      <c r="E15" t="s">
        <v>20</v>
      </c>
      <c r="F15" t="s">
        <v>109</v>
      </c>
      <c r="G15" t="s">
        <v>56</v>
      </c>
      <c r="H15" t="s">
        <v>61</v>
      </c>
    </row>
    <row r="16" spans="1:10">
      <c r="A16" t="s">
        <v>128</v>
      </c>
      <c r="B16" t="s">
        <v>129</v>
      </c>
      <c r="C16" t="s">
        <v>130</v>
      </c>
      <c r="D16" t="s">
        <v>28</v>
      </c>
      <c r="E16" t="s">
        <v>20</v>
      </c>
      <c r="F16" t="s">
        <v>45</v>
      </c>
      <c r="G16" t="s">
        <v>56</v>
      </c>
      <c r="H16" t="s">
        <v>61</v>
      </c>
    </row>
    <row r="17" spans="1:10">
      <c r="A17" t="s">
        <v>128</v>
      </c>
      <c r="B17" t="s">
        <v>129</v>
      </c>
      <c r="C17" t="s">
        <v>130</v>
      </c>
      <c r="D17" t="s">
        <v>28</v>
      </c>
      <c r="E17" t="s">
        <v>70</v>
      </c>
      <c r="F17" t="s">
        <v>41</v>
      </c>
    </row>
    <row r="18" spans="1:10">
      <c r="A18" t="s">
        <v>128</v>
      </c>
      <c r="B18" t="s">
        <v>129</v>
      </c>
      <c r="C18" t="s">
        <v>130</v>
      </c>
      <c r="D18" t="s">
        <v>52</v>
      </c>
      <c r="E18" t="s">
        <v>53</v>
      </c>
      <c r="F18" t="s">
        <v>41</v>
      </c>
    </row>
    <row r="19" spans="1:10">
      <c r="A19" t="s">
        <v>128</v>
      </c>
      <c r="B19" t="s">
        <v>131</v>
      </c>
      <c r="C19" t="s">
        <v>132</v>
      </c>
      <c r="D19" t="s">
        <v>28</v>
      </c>
      <c r="E19" t="s">
        <v>20</v>
      </c>
      <c r="F19" t="s">
        <v>45</v>
      </c>
    </row>
    <row r="20" spans="1:10">
      <c r="A20" t="s">
        <v>128</v>
      </c>
      <c r="B20" t="s">
        <v>131</v>
      </c>
      <c r="C20" t="s">
        <v>132</v>
      </c>
      <c r="D20" t="s">
        <v>52</v>
      </c>
      <c r="E20" t="s">
        <v>20</v>
      </c>
      <c r="F20" t="s">
        <v>109</v>
      </c>
    </row>
    <row r="21" spans="1:10">
      <c r="A21" t="s">
        <v>128</v>
      </c>
      <c r="B21" t="s">
        <v>131</v>
      </c>
      <c r="C21" t="s">
        <v>132</v>
      </c>
      <c r="D21" t="s">
        <v>52</v>
      </c>
      <c r="E21" t="s">
        <v>37</v>
      </c>
      <c r="F21" t="s">
        <v>85</v>
      </c>
      <c r="G21" t="s">
        <v>56</v>
      </c>
      <c r="H21" t="s">
        <v>61</v>
      </c>
    </row>
    <row r="22" spans="1:10">
      <c r="A22" t="s">
        <v>128</v>
      </c>
      <c r="B22" t="s">
        <v>131</v>
      </c>
      <c r="C22" t="s">
        <v>132</v>
      </c>
      <c r="D22" t="s">
        <v>19</v>
      </c>
      <c r="E22" t="s">
        <v>20</v>
      </c>
      <c r="F22" t="s">
        <v>45</v>
      </c>
      <c r="G22" t="s">
        <v>56</v>
      </c>
      <c r="H22" t="s">
        <v>61</v>
      </c>
    </row>
    <row r="23" spans="1:10">
      <c r="A23" t="s">
        <v>128</v>
      </c>
      <c r="B23" t="s">
        <v>131</v>
      </c>
      <c r="C23" t="s">
        <v>132</v>
      </c>
      <c r="D23" t="s">
        <v>52</v>
      </c>
      <c r="E23" t="s">
        <v>53</v>
      </c>
      <c r="F23" t="s">
        <v>41</v>
      </c>
    </row>
    <row r="24" spans="1:10">
      <c r="A24" t="s">
        <v>128</v>
      </c>
      <c r="B24" t="s">
        <v>131</v>
      </c>
      <c r="C24" t="s">
        <v>132</v>
      </c>
      <c r="D24" t="s">
        <v>28</v>
      </c>
      <c r="E24" t="s">
        <v>70</v>
      </c>
      <c r="F24" t="s">
        <v>41</v>
      </c>
    </row>
    <row r="25" spans="1:10">
      <c r="A25" t="s">
        <v>128</v>
      </c>
      <c r="B25" t="s">
        <v>133</v>
      </c>
      <c r="C25" t="s">
        <v>134</v>
      </c>
      <c r="D25" t="s">
        <v>19</v>
      </c>
      <c r="E25" t="s">
        <v>29</v>
      </c>
      <c r="F25" t="s">
        <v>112</v>
      </c>
      <c r="H25" t="s">
        <v>61</v>
      </c>
      <c r="J25" t="s">
        <v>66</v>
      </c>
    </row>
    <row r="26" spans="1:10">
      <c r="A26" t="s">
        <v>128</v>
      </c>
      <c r="B26" t="s">
        <v>133</v>
      </c>
      <c r="C26" t="s">
        <v>134</v>
      </c>
      <c r="D26" t="s">
        <v>52</v>
      </c>
      <c r="E26" t="s">
        <v>29</v>
      </c>
      <c r="F26" t="s">
        <v>55</v>
      </c>
      <c r="H26" t="s">
        <v>61</v>
      </c>
      <c r="I26" t="s">
        <v>68</v>
      </c>
      <c r="J26" t="s">
        <v>66</v>
      </c>
    </row>
    <row r="27" spans="1:10">
      <c r="A27" t="s">
        <v>128</v>
      </c>
      <c r="B27" t="s">
        <v>135</v>
      </c>
      <c r="C27" t="s">
        <v>136</v>
      </c>
      <c r="D27" t="s">
        <v>52</v>
      </c>
      <c r="E27" t="s">
        <v>53</v>
      </c>
      <c r="F27" t="s">
        <v>41</v>
      </c>
      <c r="H27" t="s">
        <v>61</v>
      </c>
      <c r="I27" t="s">
        <v>68</v>
      </c>
      <c r="J27" t="s">
        <v>66</v>
      </c>
    </row>
    <row r="28" spans="1:10">
      <c r="A28" t="s">
        <v>128</v>
      </c>
      <c r="B28" t="s">
        <v>135</v>
      </c>
      <c r="C28" t="s">
        <v>136</v>
      </c>
      <c r="D28" t="s">
        <v>52</v>
      </c>
      <c r="E28" t="s">
        <v>20</v>
      </c>
      <c r="F28" t="s">
        <v>109</v>
      </c>
      <c r="H28" t="s">
        <v>61</v>
      </c>
      <c r="I28" t="s">
        <v>68</v>
      </c>
      <c r="J28" t="s">
        <v>66</v>
      </c>
    </row>
    <row r="29" spans="1:10">
      <c r="A29" t="s">
        <v>128</v>
      </c>
      <c r="B29" t="s">
        <v>66</v>
      </c>
      <c r="C29" t="s">
        <v>137</v>
      </c>
      <c r="D29" t="s">
        <v>52</v>
      </c>
      <c r="E29" t="s">
        <v>63</v>
      </c>
      <c r="F29" t="s">
        <v>64</v>
      </c>
      <c r="I29" t="s">
        <v>68</v>
      </c>
      <c r="J29" t="s">
        <v>66</v>
      </c>
    </row>
    <row r="30" spans="1:10">
      <c r="A30" t="s">
        <v>128</v>
      </c>
      <c r="B30" t="s">
        <v>138</v>
      </c>
      <c r="C30" t="s">
        <v>139</v>
      </c>
      <c r="D30" t="s">
        <v>52</v>
      </c>
      <c r="E30" t="s">
        <v>140</v>
      </c>
      <c r="F30" t="s">
        <v>64</v>
      </c>
      <c r="I30" t="s">
        <v>68</v>
      </c>
      <c r="J30" t="s">
        <v>66</v>
      </c>
    </row>
    <row r="32" spans="1:10">
      <c r="A32" t="s">
        <v>204</v>
      </c>
      <c r="B32">
        <v>3113</v>
      </c>
      <c r="C32" t="s">
        <v>205</v>
      </c>
      <c r="D32" t="s">
        <v>52</v>
      </c>
      <c r="E32">
        <v>11</v>
      </c>
      <c r="F32" s="7">
        <v>0.49305555555555558</v>
      </c>
      <c r="I32">
        <v>4113</v>
      </c>
      <c r="J32">
        <v>4003</v>
      </c>
    </row>
    <row r="33" spans="1:10">
      <c r="A33" t="s">
        <v>204</v>
      </c>
      <c r="I33">
        <v>4113</v>
      </c>
      <c r="J33">
        <v>4003</v>
      </c>
    </row>
    <row r="34" spans="1:10">
      <c r="A34" t="s">
        <v>206</v>
      </c>
      <c r="B34">
        <v>4033</v>
      </c>
      <c r="I34">
        <v>4113</v>
      </c>
      <c r="J34">
        <v>4003</v>
      </c>
    </row>
    <row r="35" spans="1:10">
      <c r="A35" t="s">
        <v>204</v>
      </c>
      <c r="B35">
        <v>4383</v>
      </c>
      <c r="I35">
        <v>4113</v>
      </c>
      <c r="J35">
        <v>4003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workbookViewId="0">
      <selection activeCell="B2" sqref="B2"/>
    </sheetView>
  </sheetViews>
  <sheetFormatPr defaultRowHeight="14.25"/>
  <cols>
    <col min="1" max="5" width="24" customWidth="1"/>
    <col min="6" max="6" width="12" customWidth="1"/>
  </cols>
  <sheetData>
    <row r="1" spans="1:6" ht="18">
      <c r="A1" s="5" t="s">
        <v>141</v>
      </c>
      <c r="B1" s="5"/>
      <c r="C1" s="5"/>
      <c r="D1" s="5"/>
      <c r="E1" s="5"/>
      <c r="F1" s="5"/>
    </row>
    <row r="2" spans="1:6" ht="15">
      <c r="A2" s="3" t="s">
        <v>142</v>
      </c>
      <c r="B2">
        <v>12.625</v>
      </c>
    </row>
    <row r="3" spans="1:6" ht="15">
      <c r="A3" s="3" t="s">
        <v>143</v>
      </c>
      <c r="B3">
        <v>6</v>
      </c>
    </row>
    <row r="5" spans="1:6" ht="15">
      <c r="A5" s="1" t="s">
        <v>144</v>
      </c>
      <c r="B5" s="1" t="s">
        <v>145</v>
      </c>
      <c r="C5" s="1" t="s">
        <v>146</v>
      </c>
      <c r="D5" s="1" t="s">
        <v>147</v>
      </c>
      <c r="E5" s="1" t="s">
        <v>148</v>
      </c>
    </row>
    <row r="6" spans="1:6" ht="69.95" customHeight="1">
      <c r="A6" s="4" t="s">
        <v>149</v>
      </c>
      <c r="B6" s="4" t="s">
        <v>150</v>
      </c>
      <c r="C6" s="4"/>
      <c r="D6" s="4" t="s">
        <v>150</v>
      </c>
      <c r="E6" s="4" t="s">
        <v>151</v>
      </c>
    </row>
    <row r="7" spans="1:6" ht="69.95" customHeight="1">
      <c r="A7" s="4" t="s">
        <v>152</v>
      </c>
      <c r="B7" s="4" t="s">
        <v>153</v>
      </c>
      <c r="C7" s="4"/>
      <c r="D7" s="4" t="s">
        <v>153</v>
      </c>
      <c r="E7" s="4"/>
    </row>
    <row r="8" spans="1:6" ht="69.95" customHeight="1">
      <c r="A8" s="4"/>
      <c r="B8" s="4" t="s">
        <v>154</v>
      </c>
      <c r="C8" s="4"/>
      <c r="D8" s="4"/>
      <c r="E8" s="4"/>
    </row>
    <row r="10" spans="1:6" ht="15">
      <c r="A10" s="1" t="s">
        <v>155</v>
      </c>
      <c r="B10" s="1" t="s">
        <v>25</v>
      </c>
      <c r="C10" s="1" t="s">
        <v>24</v>
      </c>
      <c r="D10" s="1" t="s">
        <v>5</v>
      </c>
      <c r="E10" s="1" t="s">
        <v>156</v>
      </c>
      <c r="F10" s="1" t="s">
        <v>12</v>
      </c>
    </row>
    <row r="11" spans="1:6">
      <c r="A11" t="s">
        <v>144</v>
      </c>
      <c r="B11" t="s">
        <v>157</v>
      </c>
      <c r="C11" t="s">
        <v>158</v>
      </c>
      <c r="D11" t="s">
        <v>18</v>
      </c>
      <c r="E11" t="s">
        <v>74</v>
      </c>
      <c r="F11" t="s">
        <v>54</v>
      </c>
    </row>
    <row r="12" spans="1:6">
      <c r="A12" t="s">
        <v>144</v>
      </c>
      <c r="B12" t="s">
        <v>159</v>
      </c>
      <c r="C12" t="s">
        <v>160</v>
      </c>
      <c r="D12" t="s">
        <v>18</v>
      </c>
      <c r="E12" t="s">
        <v>35</v>
      </c>
      <c r="F12" t="s">
        <v>39</v>
      </c>
    </row>
    <row r="13" spans="1:6">
      <c r="A13" t="s">
        <v>145</v>
      </c>
      <c r="B13" t="s">
        <v>161</v>
      </c>
      <c r="C13" t="s">
        <v>162</v>
      </c>
      <c r="D13" t="s">
        <v>18</v>
      </c>
      <c r="E13" t="s">
        <v>57</v>
      </c>
      <c r="F13" t="s">
        <v>54</v>
      </c>
    </row>
    <row r="14" spans="1:6">
      <c r="A14" t="s">
        <v>145</v>
      </c>
      <c r="B14" t="s">
        <v>163</v>
      </c>
      <c r="C14" t="s">
        <v>164</v>
      </c>
      <c r="D14" t="s">
        <v>18</v>
      </c>
      <c r="E14" t="s">
        <v>69</v>
      </c>
      <c r="F14" t="s">
        <v>71</v>
      </c>
    </row>
    <row r="15" spans="1:6">
      <c r="A15" t="s">
        <v>145</v>
      </c>
      <c r="B15" t="s">
        <v>165</v>
      </c>
      <c r="C15" t="s">
        <v>166</v>
      </c>
      <c r="D15" t="s">
        <v>18</v>
      </c>
      <c r="E15" t="s">
        <v>16</v>
      </c>
      <c r="F15" t="s">
        <v>23</v>
      </c>
    </row>
    <row r="16" spans="1:6">
      <c r="A16" t="s">
        <v>147</v>
      </c>
      <c r="B16" t="s">
        <v>161</v>
      </c>
      <c r="C16" t="s">
        <v>162</v>
      </c>
      <c r="D16" t="s">
        <v>18</v>
      </c>
      <c r="E16" t="s">
        <v>57</v>
      </c>
      <c r="F16" t="s">
        <v>54</v>
      </c>
    </row>
    <row r="17" spans="1:6">
      <c r="A17" t="s">
        <v>147</v>
      </c>
      <c r="B17" t="s">
        <v>163</v>
      </c>
      <c r="C17" t="s">
        <v>164</v>
      </c>
      <c r="D17" t="s">
        <v>18</v>
      </c>
      <c r="E17" t="s">
        <v>69</v>
      </c>
      <c r="F17" t="s">
        <v>71</v>
      </c>
    </row>
    <row r="18" spans="1:6">
      <c r="A18" t="s">
        <v>148</v>
      </c>
      <c r="B18" t="s">
        <v>165</v>
      </c>
      <c r="C18" t="s">
        <v>166</v>
      </c>
      <c r="D18" t="s">
        <v>32</v>
      </c>
      <c r="E18" t="s">
        <v>16</v>
      </c>
      <c r="F18" t="s">
        <v>23</v>
      </c>
    </row>
    <row r="23" spans="1:6" ht="15">
      <c r="A23" s="6" t="s">
        <v>167</v>
      </c>
      <c r="B23" s="6"/>
      <c r="C23" s="6"/>
      <c r="D23" s="6"/>
      <c r="E23" s="6"/>
    </row>
    <row r="24" spans="1:6" ht="15">
      <c r="A24" s="1" t="s">
        <v>24</v>
      </c>
      <c r="B24" s="1" t="s">
        <v>5</v>
      </c>
      <c r="C24" s="1" t="s">
        <v>156</v>
      </c>
      <c r="D24" s="1" t="s">
        <v>4</v>
      </c>
      <c r="E24" s="1" t="s">
        <v>168</v>
      </c>
    </row>
    <row r="25" spans="1:6">
      <c r="A25" t="s">
        <v>169</v>
      </c>
    </row>
  </sheetData>
  <mergeCells count="2">
    <mergeCell ref="A1:F1"/>
    <mergeCell ref="A23:E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workbookViewId="0">
      <selection activeCell="B2" sqref="B2"/>
    </sheetView>
  </sheetViews>
  <sheetFormatPr defaultRowHeight="14.25"/>
  <cols>
    <col min="1" max="5" width="24" customWidth="1"/>
    <col min="6" max="6" width="12" customWidth="1"/>
  </cols>
  <sheetData>
    <row r="1" spans="1:6" ht="18">
      <c r="A1" s="5" t="s">
        <v>170</v>
      </c>
      <c r="B1" s="5"/>
      <c r="C1" s="5"/>
      <c r="D1" s="5"/>
      <c r="E1" s="5"/>
      <c r="F1" s="5"/>
    </row>
    <row r="2" spans="1:6" ht="15">
      <c r="A2" s="3" t="s">
        <v>142</v>
      </c>
      <c r="B2">
        <v>19.125</v>
      </c>
    </row>
    <row r="3" spans="1:6" ht="15">
      <c r="A3" s="3" t="s">
        <v>143</v>
      </c>
      <c r="B3">
        <v>6</v>
      </c>
    </row>
    <row r="5" spans="1:6" ht="15">
      <c r="A5" s="1" t="s">
        <v>144</v>
      </c>
      <c r="B5" s="1" t="s">
        <v>145</v>
      </c>
      <c r="C5" s="1" t="s">
        <v>146</v>
      </c>
      <c r="D5" s="1" t="s">
        <v>147</v>
      </c>
      <c r="E5" s="1" t="s">
        <v>148</v>
      </c>
    </row>
    <row r="6" spans="1:6" ht="69.95" customHeight="1">
      <c r="A6" s="4" t="s">
        <v>171</v>
      </c>
      <c r="B6" s="4" t="s">
        <v>172</v>
      </c>
      <c r="C6" s="4" t="s">
        <v>171</v>
      </c>
      <c r="D6" s="4" t="s">
        <v>173</v>
      </c>
      <c r="E6" s="4" t="s">
        <v>171</v>
      </c>
    </row>
    <row r="7" spans="1:6" ht="69.95" customHeight="1">
      <c r="A7" s="4" t="s">
        <v>174</v>
      </c>
      <c r="B7" s="4"/>
      <c r="C7" s="4" t="s">
        <v>175</v>
      </c>
      <c r="D7" s="4" t="s">
        <v>176</v>
      </c>
      <c r="E7" s="4"/>
    </row>
    <row r="9" spans="1:6" ht="15">
      <c r="A9" s="1" t="s">
        <v>155</v>
      </c>
      <c r="B9" s="1" t="s">
        <v>25</v>
      </c>
      <c r="C9" s="1" t="s">
        <v>24</v>
      </c>
      <c r="D9" s="1" t="s">
        <v>5</v>
      </c>
      <c r="E9" s="1" t="s">
        <v>156</v>
      </c>
      <c r="F9" s="1" t="s">
        <v>12</v>
      </c>
    </row>
    <row r="10" spans="1:6">
      <c r="A10" t="s">
        <v>144</v>
      </c>
      <c r="B10" t="s">
        <v>177</v>
      </c>
      <c r="C10" t="s">
        <v>178</v>
      </c>
      <c r="D10" t="s">
        <v>78</v>
      </c>
      <c r="E10" t="s">
        <v>77</v>
      </c>
      <c r="F10" t="s">
        <v>80</v>
      </c>
    </row>
    <row r="11" spans="1:6">
      <c r="A11" t="s">
        <v>144</v>
      </c>
      <c r="B11" t="s">
        <v>179</v>
      </c>
      <c r="C11" t="s">
        <v>180</v>
      </c>
      <c r="D11" t="s">
        <v>18</v>
      </c>
      <c r="E11" t="s">
        <v>84</v>
      </c>
      <c r="F11" t="s">
        <v>86</v>
      </c>
    </row>
    <row r="12" spans="1:6">
      <c r="A12" t="s">
        <v>145</v>
      </c>
      <c r="B12" t="s">
        <v>181</v>
      </c>
      <c r="C12" t="s">
        <v>160</v>
      </c>
      <c r="D12" t="s">
        <v>27</v>
      </c>
      <c r="E12" t="s">
        <v>35</v>
      </c>
      <c r="F12" t="s">
        <v>39</v>
      </c>
    </row>
    <row r="13" spans="1:6">
      <c r="A13" t="s">
        <v>146</v>
      </c>
      <c r="B13" t="s">
        <v>177</v>
      </c>
      <c r="C13" t="s">
        <v>178</v>
      </c>
      <c r="D13" t="s">
        <v>78</v>
      </c>
      <c r="E13" t="s">
        <v>77</v>
      </c>
      <c r="F13" t="s">
        <v>80</v>
      </c>
    </row>
    <row r="14" spans="1:6">
      <c r="A14" t="s">
        <v>146</v>
      </c>
      <c r="B14" t="s">
        <v>179</v>
      </c>
      <c r="C14" t="s">
        <v>180</v>
      </c>
      <c r="D14" t="s">
        <v>27</v>
      </c>
      <c r="E14" t="s">
        <v>84</v>
      </c>
      <c r="F14" t="s">
        <v>86</v>
      </c>
    </row>
    <row r="15" spans="1:6">
      <c r="A15" t="s">
        <v>147</v>
      </c>
      <c r="B15" t="s">
        <v>181</v>
      </c>
      <c r="C15" t="s">
        <v>160</v>
      </c>
      <c r="D15" t="s">
        <v>42</v>
      </c>
      <c r="E15" t="s">
        <v>35</v>
      </c>
      <c r="F15" t="s">
        <v>39</v>
      </c>
    </row>
    <row r="16" spans="1:6">
      <c r="A16" t="s">
        <v>147</v>
      </c>
      <c r="B16" t="s">
        <v>182</v>
      </c>
      <c r="C16" t="s">
        <v>166</v>
      </c>
      <c r="D16" t="s">
        <v>27</v>
      </c>
      <c r="E16" t="s">
        <v>16</v>
      </c>
      <c r="F16" t="s">
        <v>23</v>
      </c>
    </row>
    <row r="17" spans="1:6">
      <c r="A17" t="s">
        <v>148</v>
      </c>
      <c r="B17" t="s">
        <v>177</v>
      </c>
      <c r="C17" t="s">
        <v>178</v>
      </c>
      <c r="D17" t="s">
        <v>78</v>
      </c>
      <c r="E17" t="s">
        <v>77</v>
      </c>
      <c r="F17" t="s">
        <v>80</v>
      </c>
    </row>
    <row r="20" spans="1:6" ht="15">
      <c r="A20" s="6" t="s">
        <v>167</v>
      </c>
      <c r="B20" s="6"/>
      <c r="C20" s="6"/>
      <c r="D20" s="6"/>
      <c r="E20" s="6"/>
    </row>
    <row r="21" spans="1:6" ht="15">
      <c r="A21" s="1" t="s">
        <v>24</v>
      </c>
      <c r="B21" s="1" t="s">
        <v>5</v>
      </c>
      <c r="C21" s="1" t="s">
        <v>156</v>
      </c>
      <c r="D21" s="1" t="s">
        <v>4</v>
      </c>
      <c r="E21" s="1" t="s">
        <v>168</v>
      </c>
    </row>
    <row r="22" spans="1:6">
      <c r="A22" t="s">
        <v>178</v>
      </c>
      <c r="B22" t="s">
        <v>81</v>
      </c>
      <c r="C22" t="s">
        <v>77</v>
      </c>
      <c r="D22">
        <v>3</v>
      </c>
      <c r="E22" t="s">
        <v>82</v>
      </c>
    </row>
    <row r="23" spans="1:6">
      <c r="A23" t="s">
        <v>180</v>
      </c>
      <c r="B23" t="s">
        <v>88</v>
      </c>
      <c r="C23" t="s">
        <v>84</v>
      </c>
      <c r="D23">
        <v>1.5</v>
      </c>
      <c r="E23" t="s">
        <v>82</v>
      </c>
    </row>
    <row r="24" spans="1:6">
      <c r="A24" t="s">
        <v>183</v>
      </c>
      <c r="B24" t="s">
        <v>88</v>
      </c>
      <c r="C24" t="s">
        <v>92</v>
      </c>
      <c r="D24">
        <v>3</v>
      </c>
      <c r="E24" t="s">
        <v>82</v>
      </c>
    </row>
    <row r="25" spans="1:6">
      <c r="A25" t="s">
        <v>184</v>
      </c>
      <c r="B25" t="s">
        <v>88</v>
      </c>
      <c r="C25" t="s">
        <v>92</v>
      </c>
      <c r="D25">
        <v>0</v>
      </c>
      <c r="E25" t="s">
        <v>82</v>
      </c>
    </row>
  </sheetData>
  <mergeCells count="2">
    <mergeCell ref="A1:F1"/>
    <mergeCell ref="A20:E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4"/>
  <sheetViews>
    <sheetView zoomScale="90" zoomScaleNormal="90" workbookViewId="0">
      <selection activeCell="B8" sqref="B8"/>
    </sheetView>
  </sheetViews>
  <sheetFormatPr defaultRowHeight="14.25"/>
  <cols>
    <col min="1" max="1" width="27.5" bestFit="1" customWidth="1"/>
    <col min="2" max="2" width="30.375" customWidth="1"/>
    <col min="3" max="4" width="24" customWidth="1"/>
    <col min="5" max="5" width="27.625" customWidth="1"/>
    <col min="6" max="6" width="12" customWidth="1"/>
  </cols>
  <sheetData>
    <row r="1" spans="1:6" ht="18">
      <c r="A1" s="5" t="s">
        <v>185</v>
      </c>
      <c r="B1" s="5"/>
      <c r="C1" s="5"/>
      <c r="D1" s="5"/>
      <c r="E1" s="5"/>
      <c r="F1" s="5"/>
    </row>
    <row r="2" spans="1:6" ht="15">
      <c r="A2" s="3" t="s">
        <v>142</v>
      </c>
      <c r="B2">
        <v>14.25</v>
      </c>
    </row>
    <row r="3" spans="1:6" ht="15">
      <c r="A3" s="3" t="s">
        <v>143</v>
      </c>
      <c r="B3">
        <v>5</v>
      </c>
    </row>
    <row r="5" spans="1:6" ht="15">
      <c r="A5" s="1" t="s">
        <v>144</v>
      </c>
      <c r="B5" s="1" t="s">
        <v>145</v>
      </c>
      <c r="C5" s="1" t="s">
        <v>146</v>
      </c>
      <c r="D5" s="1" t="s">
        <v>147</v>
      </c>
      <c r="E5" s="1" t="s">
        <v>148</v>
      </c>
    </row>
    <row r="6" spans="1:6" ht="69.95" customHeight="1">
      <c r="A6" s="4" t="s">
        <v>186</v>
      </c>
      <c r="B6" s="4"/>
      <c r="C6" s="4" t="s">
        <v>186</v>
      </c>
      <c r="D6" s="4" t="s">
        <v>187</v>
      </c>
      <c r="E6" s="4" t="s">
        <v>186</v>
      </c>
    </row>
    <row r="7" spans="1:6" ht="69.95" customHeight="1">
      <c r="A7" s="4" t="s">
        <v>188</v>
      </c>
      <c r="B7" s="4"/>
      <c r="C7" s="4" t="s">
        <v>188</v>
      </c>
      <c r="D7" s="4" t="s">
        <v>189</v>
      </c>
      <c r="E7" s="4" t="s">
        <v>188</v>
      </c>
    </row>
    <row r="8" spans="1:6" ht="96.75" customHeight="1">
      <c r="A8" s="8" t="s">
        <v>190</v>
      </c>
      <c r="C8" s="8" t="s">
        <v>190</v>
      </c>
    </row>
    <row r="9" spans="1:6" ht="15">
      <c r="A9" s="1" t="s">
        <v>155</v>
      </c>
      <c r="B9" s="1" t="s">
        <v>25</v>
      </c>
      <c r="C9" s="1" t="s">
        <v>24</v>
      </c>
      <c r="D9" s="1" t="s">
        <v>5</v>
      </c>
      <c r="E9" s="1" t="s">
        <v>156</v>
      </c>
      <c r="F9" s="1" t="s">
        <v>12</v>
      </c>
    </row>
    <row r="10" spans="1:6">
      <c r="A10" t="s">
        <v>144</v>
      </c>
      <c r="B10" t="s">
        <v>191</v>
      </c>
      <c r="C10" t="s">
        <v>192</v>
      </c>
      <c r="D10" t="s">
        <v>18</v>
      </c>
      <c r="E10" t="s">
        <v>62</v>
      </c>
      <c r="F10" t="s">
        <v>65</v>
      </c>
    </row>
    <row r="11" spans="1:6">
      <c r="A11" t="s">
        <v>144</v>
      </c>
      <c r="B11" t="s">
        <v>177</v>
      </c>
      <c r="C11" t="s">
        <v>192</v>
      </c>
      <c r="D11" t="s">
        <v>27</v>
      </c>
      <c r="E11" t="s">
        <v>62</v>
      </c>
      <c r="F11" t="s">
        <v>54</v>
      </c>
    </row>
    <row r="12" spans="1:6">
      <c r="A12" t="s">
        <v>144</v>
      </c>
      <c r="B12" t="s">
        <v>193</v>
      </c>
      <c r="C12" t="s">
        <v>162</v>
      </c>
      <c r="D12" t="s">
        <v>27</v>
      </c>
      <c r="E12" t="s">
        <v>57</v>
      </c>
      <c r="F12" t="s">
        <v>54</v>
      </c>
    </row>
    <row r="13" spans="1:6">
      <c r="A13" t="s">
        <v>146</v>
      </c>
      <c r="B13" t="s">
        <v>191</v>
      </c>
      <c r="C13" t="s">
        <v>192</v>
      </c>
      <c r="D13" t="s">
        <v>18</v>
      </c>
      <c r="E13" t="s">
        <v>62</v>
      </c>
      <c r="F13" t="s">
        <v>65</v>
      </c>
    </row>
    <row r="14" spans="1:6">
      <c r="A14" t="s">
        <v>146</v>
      </c>
      <c r="B14" t="s">
        <v>177</v>
      </c>
      <c r="C14" t="s">
        <v>192</v>
      </c>
      <c r="D14" t="s">
        <v>27</v>
      </c>
      <c r="E14" t="s">
        <v>62</v>
      </c>
      <c r="F14" t="s">
        <v>54</v>
      </c>
    </row>
    <row r="15" spans="1:6">
      <c r="A15" t="s">
        <v>146</v>
      </c>
      <c r="B15" t="s">
        <v>193</v>
      </c>
      <c r="C15" t="s">
        <v>162</v>
      </c>
      <c r="D15" t="s">
        <v>27</v>
      </c>
      <c r="E15" t="s">
        <v>57</v>
      </c>
      <c r="F15" t="s">
        <v>54</v>
      </c>
    </row>
    <row r="16" spans="1:6">
      <c r="A16" t="s">
        <v>147</v>
      </c>
      <c r="B16" t="s">
        <v>194</v>
      </c>
      <c r="C16" t="s">
        <v>160</v>
      </c>
      <c r="D16" t="s">
        <v>32</v>
      </c>
      <c r="E16" t="s">
        <v>35</v>
      </c>
      <c r="F16" t="s">
        <v>39</v>
      </c>
    </row>
    <row r="17" spans="1:6">
      <c r="A17" t="s">
        <v>147</v>
      </c>
      <c r="B17" t="s">
        <v>195</v>
      </c>
      <c r="C17" t="s">
        <v>160</v>
      </c>
      <c r="D17" t="s">
        <v>46</v>
      </c>
      <c r="E17" t="s">
        <v>35</v>
      </c>
      <c r="F17" t="s">
        <v>39</v>
      </c>
    </row>
    <row r="18" spans="1:6">
      <c r="A18" t="s">
        <v>148</v>
      </c>
      <c r="B18" t="s">
        <v>191</v>
      </c>
      <c r="C18" t="s">
        <v>192</v>
      </c>
      <c r="D18" t="s">
        <v>18</v>
      </c>
      <c r="E18" t="s">
        <v>62</v>
      </c>
      <c r="F18" t="s">
        <v>65</v>
      </c>
    </row>
    <row r="19" spans="1:6">
      <c r="A19" t="s">
        <v>148</v>
      </c>
      <c r="B19" t="s">
        <v>177</v>
      </c>
      <c r="C19" t="s">
        <v>192</v>
      </c>
      <c r="D19" t="s">
        <v>27</v>
      </c>
      <c r="E19" t="s">
        <v>62</v>
      </c>
      <c r="F19" t="s">
        <v>54</v>
      </c>
    </row>
    <row r="20" spans="1:6" ht="15">
      <c r="A20" s="6"/>
      <c r="B20" s="6"/>
      <c r="C20" s="6"/>
      <c r="D20" s="6"/>
      <c r="E20" s="6"/>
    </row>
    <row r="21" spans="1:6" ht="15">
      <c r="A21" s="1"/>
      <c r="B21" s="1"/>
      <c r="C21" s="1"/>
      <c r="D21" s="1"/>
      <c r="E21" s="1"/>
    </row>
    <row r="22" spans="1:6">
      <c r="A22" t="s">
        <v>167</v>
      </c>
    </row>
    <row r="23" spans="1:6">
      <c r="A23" t="s">
        <v>24</v>
      </c>
      <c r="B23" t="s">
        <v>5</v>
      </c>
      <c r="C23" t="s">
        <v>156</v>
      </c>
      <c r="D23" t="s">
        <v>4</v>
      </c>
      <c r="E23" t="s">
        <v>168</v>
      </c>
    </row>
    <row r="24" spans="1:6">
      <c r="A24" t="s">
        <v>196</v>
      </c>
      <c r="B24" t="s">
        <v>88</v>
      </c>
      <c r="C24" t="s">
        <v>90</v>
      </c>
      <c r="D24">
        <v>1.5</v>
      </c>
      <c r="E24" t="s">
        <v>82</v>
      </c>
    </row>
  </sheetData>
  <mergeCells count="2">
    <mergeCell ref="A1:F1"/>
    <mergeCell ref="A20:E20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"/>
  <sheetViews>
    <sheetView workbookViewId="0"/>
  </sheetViews>
  <sheetFormatPr defaultRowHeight="14.25"/>
  <cols>
    <col min="1" max="5" width="24" customWidth="1"/>
    <col min="6" max="6" width="12" customWidth="1"/>
  </cols>
  <sheetData>
    <row r="1" spans="1:6" ht="18">
      <c r="A1" s="5" t="s">
        <v>197</v>
      </c>
      <c r="B1" s="5"/>
      <c r="C1" s="5"/>
      <c r="D1" s="5"/>
      <c r="E1" s="5"/>
      <c r="F1" s="5"/>
    </row>
    <row r="2" spans="1:6" ht="15">
      <c r="A2" s="3" t="s">
        <v>142</v>
      </c>
      <c r="B2">
        <v>9</v>
      </c>
    </row>
    <row r="3" spans="1:6" ht="15">
      <c r="A3" s="3" t="s">
        <v>143</v>
      </c>
      <c r="B3">
        <v>3</v>
      </c>
    </row>
    <row r="5" spans="1:6" ht="15">
      <c r="A5" s="1" t="s">
        <v>144</v>
      </c>
      <c r="B5" s="1" t="s">
        <v>145</v>
      </c>
      <c r="C5" s="1" t="s">
        <v>146</v>
      </c>
      <c r="D5" s="1" t="s">
        <v>147</v>
      </c>
      <c r="E5" s="1" t="s">
        <v>148</v>
      </c>
    </row>
    <row r="6" spans="1:6" ht="69.95" customHeight="1">
      <c r="A6" s="4" t="s">
        <v>198</v>
      </c>
      <c r="B6" s="4" t="s">
        <v>199</v>
      </c>
      <c r="C6" s="4" t="s">
        <v>198</v>
      </c>
      <c r="D6" s="4" t="s">
        <v>199</v>
      </c>
      <c r="E6" s="4" t="s">
        <v>198</v>
      </c>
    </row>
    <row r="7" spans="1:6" ht="69.95" customHeight="1">
      <c r="A7" s="4" t="s">
        <v>200</v>
      </c>
      <c r="B7" s="4"/>
      <c r="C7" s="4" t="s">
        <v>200</v>
      </c>
      <c r="D7" s="4"/>
      <c r="E7" s="4" t="s">
        <v>200</v>
      </c>
    </row>
    <row r="9" spans="1:6" ht="15">
      <c r="A9" s="1" t="s">
        <v>155</v>
      </c>
      <c r="B9" s="1" t="s">
        <v>25</v>
      </c>
      <c r="C9" s="1" t="s">
        <v>24</v>
      </c>
      <c r="D9" s="1" t="s">
        <v>5</v>
      </c>
      <c r="E9" s="1" t="s">
        <v>156</v>
      </c>
      <c r="F9" s="1" t="s">
        <v>12</v>
      </c>
    </row>
    <row r="10" spans="1:6">
      <c r="A10" t="s">
        <v>144</v>
      </c>
      <c r="B10" t="s">
        <v>177</v>
      </c>
      <c r="C10" t="s">
        <v>201</v>
      </c>
      <c r="D10" t="s">
        <v>18</v>
      </c>
      <c r="E10" t="s">
        <v>50</v>
      </c>
      <c r="F10" t="s">
        <v>54</v>
      </c>
    </row>
    <row r="11" spans="1:6">
      <c r="A11" t="s">
        <v>144</v>
      </c>
      <c r="B11" t="s">
        <v>202</v>
      </c>
      <c r="C11" t="s">
        <v>201</v>
      </c>
      <c r="D11" t="s">
        <v>27</v>
      </c>
      <c r="E11" t="s">
        <v>50</v>
      </c>
      <c r="F11" t="s">
        <v>54</v>
      </c>
    </row>
    <row r="12" spans="1:6">
      <c r="A12" t="s">
        <v>145</v>
      </c>
      <c r="B12" t="s">
        <v>161</v>
      </c>
      <c r="C12" t="s">
        <v>203</v>
      </c>
      <c r="D12" t="s">
        <v>18</v>
      </c>
      <c r="E12" t="s">
        <v>67</v>
      </c>
      <c r="F12" t="s">
        <v>65</v>
      </c>
    </row>
    <row r="13" spans="1:6">
      <c r="A13" t="s">
        <v>146</v>
      </c>
      <c r="B13" t="s">
        <v>177</v>
      </c>
      <c r="C13" t="s">
        <v>201</v>
      </c>
      <c r="D13" t="s">
        <v>18</v>
      </c>
      <c r="E13" t="s">
        <v>50</v>
      </c>
      <c r="F13" t="s">
        <v>54</v>
      </c>
    </row>
    <row r="14" spans="1:6">
      <c r="A14" t="s">
        <v>146</v>
      </c>
      <c r="B14" t="s">
        <v>202</v>
      </c>
      <c r="C14" t="s">
        <v>201</v>
      </c>
      <c r="D14" t="s">
        <v>27</v>
      </c>
      <c r="E14" t="s">
        <v>50</v>
      </c>
      <c r="F14" t="s">
        <v>54</v>
      </c>
    </row>
    <row r="15" spans="1:6">
      <c r="A15" t="s">
        <v>147</v>
      </c>
      <c r="B15" t="s">
        <v>161</v>
      </c>
      <c r="C15" t="s">
        <v>203</v>
      </c>
      <c r="D15" t="s">
        <v>18</v>
      </c>
      <c r="E15" t="s">
        <v>67</v>
      </c>
      <c r="F15" t="s">
        <v>65</v>
      </c>
    </row>
    <row r="16" spans="1:6">
      <c r="A16" t="s">
        <v>148</v>
      </c>
      <c r="B16" t="s">
        <v>177</v>
      </c>
      <c r="C16" t="s">
        <v>201</v>
      </c>
      <c r="D16" t="s">
        <v>18</v>
      </c>
      <c r="E16" t="s">
        <v>50</v>
      </c>
      <c r="F16" t="s">
        <v>54</v>
      </c>
    </row>
    <row r="17" spans="1:6">
      <c r="A17" t="s">
        <v>148</v>
      </c>
      <c r="B17" t="s">
        <v>202</v>
      </c>
      <c r="C17" t="s">
        <v>201</v>
      </c>
      <c r="D17" t="s">
        <v>27</v>
      </c>
      <c r="E17" t="s">
        <v>50</v>
      </c>
      <c r="F17" t="s">
        <v>54</v>
      </c>
    </row>
    <row r="20" spans="1:6" ht="15">
      <c r="A20" s="6" t="s">
        <v>167</v>
      </c>
      <c r="B20" s="6"/>
      <c r="C20" s="6"/>
      <c r="D20" s="6"/>
      <c r="E20" s="6"/>
    </row>
    <row r="21" spans="1:6" ht="15">
      <c r="A21" s="1" t="s">
        <v>24</v>
      </c>
      <c r="B21" s="1" t="s">
        <v>5</v>
      </c>
      <c r="C21" s="1" t="s">
        <v>156</v>
      </c>
      <c r="D21" s="1" t="s">
        <v>4</v>
      </c>
      <c r="E21" s="1" t="s">
        <v>168</v>
      </c>
    </row>
    <row r="22" spans="1:6">
      <c r="A22" t="s">
        <v>169</v>
      </c>
    </row>
  </sheetData>
  <mergeCells count="2">
    <mergeCell ref="A1:F1"/>
    <mergeCell ref="A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Updated Schedule</vt:lpstr>
      <vt:lpstr>Avoid Conflicts</vt:lpstr>
      <vt:lpstr>Jessica Young</vt:lpstr>
      <vt:lpstr>Amber Harrington</vt:lpstr>
      <vt:lpstr>Matt Hankins</vt:lpstr>
      <vt:lpstr>Hamed Shojaei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Young (Faculty)</dc:creator>
  <cp:lastModifiedBy>Jessica Young (Faculty)</cp:lastModifiedBy>
  <dcterms:created xsi:type="dcterms:W3CDTF">2026-08-31T20:20:02Z</dcterms:created>
  <dcterms:modified xsi:type="dcterms:W3CDTF">2026-09-01T18:24:28Z</dcterms:modified>
</cp:coreProperties>
</file>